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upo Avanza SPA" sheetId="1" r:id="rId4"/>
    <sheet state="visible" name="Hoja 1" sheetId="2" r:id="rId5"/>
    <sheet state="visible" name="EMPRESA DE SER...ORIOS G.A. SPA" sheetId="3" r:id="rId6"/>
  </sheets>
  <definedNames/>
  <calcPr/>
  <extLst>
    <ext uri="GoogleSheetsCustomDataVersion2">
      <go:sheetsCustomData xmlns:go="http://customooxmlschemas.google.com/" r:id="rId7" roundtripDataChecksum="R0vwm8tSnPkwC9u20fe49tauV5PU4/eYINeOf/TWJDo="/>
    </ext>
  </extLst>
</workbook>
</file>

<file path=xl/sharedStrings.xml><?xml version="1.0" encoding="utf-8"?>
<sst xmlns="http://schemas.openxmlformats.org/spreadsheetml/2006/main" count="2616" uniqueCount="399">
  <si>
    <t>Libro: Remuneraciones</t>
  </si>
  <si>
    <t>Empresa: Grupo Avanza SPA (76.008.458-1)</t>
  </si>
  <si>
    <t>Periodo: Agosto 2026</t>
  </si>
  <si>
    <t>Empresa: EMPRESA DE SERVICIOS TRANSITORIOS G.A. SPA (78.231.643-5)</t>
  </si>
  <si>
    <t>Fecha Generación: 24/08/2026 a las 07:59PM</t>
  </si>
  <si>
    <t>Fecha Generación: 28/08/2026 a las 02:47PM</t>
  </si>
  <si>
    <t>RUT</t>
  </si>
  <si>
    <t>CÓDIGO</t>
  </si>
  <si>
    <t>AP PATERNO</t>
  </si>
  <si>
    <t>AP MATERNO</t>
  </si>
  <si>
    <t>NOMBRES</t>
  </si>
  <si>
    <t>CARGO</t>
  </si>
  <si>
    <t>AREA</t>
  </si>
  <si>
    <t>CENTRO COSTO</t>
  </si>
  <si>
    <t>DÍAS TRABAJADOS</t>
  </si>
  <si>
    <t>HORAS SEMANALES</t>
  </si>
  <si>
    <t>HORAS NO TRABAJADAS</t>
  </si>
  <si>
    <t>BASE IMP. PREVISIÓN</t>
  </si>
  <si>
    <t>BASE IMP. CESANTÍA</t>
  </si>
  <si>
    <t>SUELDO BASE</t>
  </si>
  <si>
    <t>GRATIFICACIÓN</t>
  </si>
  <si>
    <t>APORTE ASISTENCIA</t>
  </si>
  <si>
    <t>HORAS EXTRAS</t>
  </si>
  <si>
    <t>ASIGNACIÓN FAMILIAR</t>
  </si>
  <si>
    <t>ASIGNACIÓN POR TELETRABAJO</t>
  </si>
  <si>
    <t>ASIGNACIÓN SALA CUNA</t>
  </si>
  <si>
    <t>ASIGNACIÓN TELEFONÍA E INTERNET</t>
  </si>
  <si>
    <t>BONO</t>
  </si>
  <si>
    <t>BONO ESTUDIO</t>
  </si>
  <si>
    <t>BONO GESTIÓN</t>
  </si>
  <si>
    <t>BONO INTERNET</t>
  </si>
  <si>
    <t>BONO TELEFONIA</t>
  </si>
  <si>
    <t>BONO TRIMESTRAL ACUERDO MARCO</t>
  </si>
  <si>
    <t>COLACIÓN</t>
  </si>
  <si>
    <t>COMISIONES</t>
  </si>
  <si>
    <t>DIFERENCIA BONO</t>
  </si>
  <si>
    <t>INCENTIVO TRIMESTRAL CUOTA 3</t>
  </si>
  <si>
    <t>MOVILIZACIÓN</t>
  </si>
  <si>
    <t>VIATICO</t>
  </si>
  <si>
    <t>TOTAL HABERES</t>
  </si>
  <si>
    <t>PREVIS</t>
  </si>
  <si>
    <t>APV</t>
  </si>
  <si>
    <t>SALUD</t>
  </si>
  <si>
    <t>SALUD VOLUNTARIA</t>
  </si>
  <si>
    <t>CESANTÍA</t>
  </si>
  <si>
    <t>IMPUESTO</t>
  </si>
  <si>
    <t>CUENTA_2</t>
  </si>
  <si>
    <t>ANTICIPO DE REMUNERACIONES</t>
  </si>
  <si>
    <t>CONVENIO FALP</t>
  </si>
  <si>
    <t>CUENTA 2 PESOS</t>
  </si>
  <si>
    <t>CRÉDITO PERSONAL CAJA LOS ANDES</t>
  </si>
  <si>
    <t>PRESTAMO EMPRESA</t>
  </si>
  <si>
    <t>PRÉSTAMO EMPRESA</t>
  </si>
  <si>
    <t>SEGURO DE VIDA CAJA LOS ANDES</t>
  </si>
  <si>
    <t>TOTAL DESCUENTOS</t>
  </si>
  <si>
    <t>SUELDO LÍQUIDO</t>
  </si>
  <si>
    <t>SOBREGIRO</t>
  </si>
  <si>
    <t>16.280.871-0</t>
  </si>
  <si>
    <t>F1</t>
  </si>
  <si>
    <t>Aguirre</t>
  </si>
  <si>
    <t>Vásquez</t>
  </si>
  <si>
    <t>Stefania Alejandra</t>
  </si>
  <si>
    <t>Coordinador Senior de Cultura y Desarrollo</t>
  </si>
  <si>
    <t>OUTSOURCING, Codelco Casa Matriz, Codelco Casa Matriz</t>
  </si>
  <si>
    <t/>
  </si>
  <si>
    <t>17.858.538-k</t>
  </si>
  <si>
    <t>Alucema</t>
  </si>
  <si>
    <t>Moraga</t>
  </si>
  <si>
    <t>Lucía Beatriz</t>
  </si>
  <si>
    <t>PSICOLOGA</t>
  </si>
  <si>
    <t>OUTSOURCING, Cia. Minera del Pacifico S.A., Cia. Minera del Pacifico S.A.</t>
  </si>
  <si>
    <t>100</t>
  </si>
  <si>
    <t>20.231.495-3</t>
  </si>
  <si>
    <t>Aravena</t>
  </si>
  <si>
    <t>Rodriguez</t>
  </si>
  <si>
    <t>Claudia Valentina</t>
  </si>
  <si>
    <t>Coordinador de Cultura y Desarrollo</t>
  </si>
  <si>
    <t>20.162.327-8</t>
  </si>
  <si>
    <t>Charrie</t>
  </si>
  <si>
    <t>Troncoso</t>
  </si>
  <si>
    <t>Javiera Ignacia</t>
  </si>
  <si>
    <t>Key Account Executive</t>
  </si>
  <si>
    <t>OUTSOURCING, EDGEWELL CHILE, EDGEWELL CHILE</t>
  </si>
  <si>
    <t>18.354.198-6</t>
  </si>
  <si>
    <t>Araya</t>
  </si>
  <si>
    <t>Cortés</t>
  </si>
  <si>
    <t>Eduardo Antonio</t>
  </si>
  <si>
    <t>Programador</t>
  </si>
  <si>
    <t>Over Head, IT, IT</t>
  </si>
  <si>
    <t>20.722.232-1</t>
  </si>
  <si>
    <t>Nordin</t>
  </si>
  <si>
    <t>Campos</t>
  </si>
  <si>
    <t>Antonia Belen</t>
  </si>
  <si>
    <t>SALES ENABLEMENT REP SUPPORT</t>
  </si>
  <si>
    <t>GA EST, Endress Hauser, Endress Hauser</t>
  </si>
  <si>
    <t>14.027.919-6</t>
  </si>
  <si>
    <t>26.591.232-k</t>
  </si>
  <si>
    <t>Bawarshi</t>
  </si>
  <si>
    <t>Ortega</t>
  </si>
  <si>
    <t>Paredes</t>
  </si>
  <si>
    <t>Abarzua</t>
  </si>
  <si>
    <t>Alfonso Ignacio</t>
  </si>
  <si>
    <t>Director Ejecutivo</t>
  </si>
  <si>
    <t>Gabriela Mercedes</t>
  </si>
  <si>
    <t>Over Head, Administración, Comercial</t>
  </si>
  <si>
    <t>Ejecutivo(a) Comercial</t>
  </si>
  <si>
    <t>1111</t>
  </si>
  <si>
    <t>GA EST, Schindler, Schindler</t>
  </si>
  <si>
    <t>16.628.617-4</t>
  </si>
  <si>
    <t>Palma</t>
  </si>
  <si>
    <t>Cecilia Tamara</t>
  </si>
  <si>
    <t>Receptionist &amp; Administrative Assistant</t>
  </si>
  <si>
    <t>17.408.142-5</t>
  </si>
  <si>
    <t>Gabriela Estefania</t>
  </si>
  <si>
    <t>Analista Senior DO</t>
  </si>
  <si>
    <t>22.647.597-4</t>
  </si>
  <si>
    <t>Videla</t>
  </si>
  <si>
    <t>Lopez</t>
  </si>
  <si>
    <t>Josefa Alejandra</t>
  </si>
  <si>
    <t>Accounts Assistant</t>
  </si>
  <si>
    <t>22.074.650-k</t>
  </si>
  <si>
    <t>Bustiman</t>
  </si>
  <si>
    <t>Gonzalez</t>
  </si>
  <si>
    <t>Gabriel Bastian</t>
  </si>
  <si>
    <t>Technician Service Assistance</t>
  </si>
  <si>
    <t>OUTSOURCING, Endress Hauser, Endress Hauser</t>
  </si>
  <si>
    <t>28.830.860-8</t>
  </si>
  <si>
    <t>Camacho</t>
  </si>
  <si>
    <t>Cordero</t>
  </si>
  <si>
    <t>Roger Alberto</t>
  </si>
  <si>
    <t>Gestor de Procesos</t>
  </si>
  <si>
    <t>OUTSOURCING, Goldfields, Goldfield</t>
  </si>
  <si>
    <t>20.043.827-2</t>
  </si>
  <si>
    <t>Cantarero</t>
  </si>
  <si>
    <t>Pacheco</t>
  </si>
  <si>
    <t>Elias Matias Ignacio</t>
  </si>
  <si>
    <t>SERVICE TECHNICIAL</t>
  </si>
  <si>
    <t>20.411.355-6</t>
  </si>
  <si>
    <t>Carreño</t>
  </si>
  <si>
    <t>Espinoza</t>
  </si>
  <si>
    <t>Amaranta Paola</t>
  </si>
  <si>
    <t>Asistente de Gestion de Personas</t>
  </si>
  <si>
    <t>21.380.747-1</t>
  </si>
  <si>
    <t>Catalan</t>
  </si>
  <si>
    <t>Mardones</t>
  </si>
  <si>
    <t>Javiera Alejandra</t>
  </si>
  <si>
    <t>Asistente Contable</t>
  </si>
  <si>
    <t>OUTSOURCING, CONTINENTAL SEGUROS, CONTINENTAL SEGUROS</t>
  </si>
  <si>
    <t>19.135.138-k</t>
  </si>
  <si>
    <t>Cataldo</t>
  </si>
  <si>
    <t>Caviedes</t>
  </si>
  <si>
    <t>Claudia Fernanda</t>
  </si>
  <si>
    <t>Coordinador de Reclutamiento y Selección</t>
  </si>
  <si>
    <t>Hunting, Hunting, Hunting</t>
  </si>
  <si>
    <t>19.867.384-6</t>
  </si>
  <si>
    <t>Caul</t>
  </si>
  <si>
    <t>Cortes</t>
  </si>
  <si>
    <t>Francisca Valentina</t>
  </si>
  <si>
    <t>Coordinador Avanzado</t>
  </si>
  <si>
    <t>OUTSOURCING, CODELCO CHILE -V. P., CODELCO CHILE -V. P.</t>
  </si>
  <si>
    <t>16.479.434-2</t>
  </si>
  <si>
    <t>Correa</t>
  </si>
  <si>
    <t>Camila Denis</t>
  </si>
  <si>
    <t>KEY ACCOUNT MANAGER SENIOR</t>
  </si>
  <si>
    <t>26.972.625-3</t>
  </si>
  <si>
    <t>De Sousa</t>
  </si>
  <si>
    <t>Garcia</t>
  </si>
  <si>
    <t>Stephen William</t>
  </si>
  <si>
    <t>Control Interno</t>
  </si>
  <si>
    <t>26.304.359-6</t>
  </si>
  <si>
    <t>Diaz</t>
  </si>
  <si>
    <t>Fatima</t>
  </si>
  <si>
    <t>Supervisor Técnico del Servicio</t>
  </si>
  <si>
    <t>OUTSOURCING, Enap, Enap</t>
  </si>
  <si>
    <t>17.318.383-6</t>
  </si>
  <si>
    <t>Latorre</t>
  </si>
  <si>
    <t>Daniela Paz Loreto</t>
  </si>
  <si>
    <t>Especialista en Biodiversidad</t>
  </si>
  <si>
    <t>OUTSOURCING, Salar Blanco, Salar Blanco</t>
  </si>
  <si>
    <t>25.387.977-7</t>
  </si>
  <si>
    <t>Fuentes</t>
  </si>
  <si>
    <t>Levy Johan</t>
  </si>
  <si>
    <t>Especialista Modelamiento</t>
  </si>
  <si>
    <t>18.585.098-6</t>
  </si>
  <si>
    <t>Cruz</t>
  </si>
  <si>
    <t>Isabel Ivania</t>
  </si>
  <si>
    <t>Coordinador Senior</t>
  </si>
  <si>
    <t>21.166.392-8</t>
  </si>
  <si>
    <t>Soria</t>
  </si>
  <si>
    <t>Alexis Joshua</t>
  </si>
  <si>
    <t>Especialista en Sistemas</t>
  </si>
  <si>
    <t>17.852.693-6</t>
  </si>
  <si>
    <t>Gil</t>
  </si>
  <si>
    <t>Salazar</t>
  </si>
  <si>
    <t>Ivan Ignacio</t>
  </si>
  <si>
    <t>18.668.865-1</t>
  </si>
  <si>
    <t>Gomez</t>
  </si>
  <si>
    <t>Paris</t>
  </si>
  <si>
    <t>Rodrigo Ignacio</t>
  </si>
  <si>
    <t>15.934.450-9</t>
  </si>
  <si>
    <t>Muñoz</t>
  </si>
  <si>
    <t>Viviana Soledad</t>
  </si>
  <si>
    <t>Gerente Comercial</t>
  </si>
  <si>
    <t>19.928.652-8</t>
  </si>
  <si>
    <t>Guerrero</t>
  </si>
  <si>
    <t>Maldonado</t>
  </si>
  <si>
    <t>Geraldine</t>
  </si>
  <si>
    <t>Coordinadora Avanzada</t>
  </si>
  <si>
    <t>16.477.999-8</t>
  </si>
  <si>
    <t>Gutiérrez</t>
  </si>
  <si>
    <t>Castro</t>
  </si>
  <si>
    <t>Carolina Arlette</t>
  </si>
  <si>
    <t>Analista de Logística JR</t>
  </si>
  <si>
    <t>OUTSOURCING, Tesa Tape Chile S.A., Tesa Tape Chile S.A.</t>
  </si>
  <si>
    <t>15.737.550-4</t>
  </si>
  <si>
    <t>Hurtado</t>
  </si>
  <si>
    <t>Canto</t>
  </si>
  <si>
    <t>Alejandro Eduardo</t>
  </si>
  <si>
    <t>18.467.232-4</t>
  </si>
  <si>
    <t>Jamis</t>
  </si>
  <si>
    <t>Matus</t>
  </si>
  <si>
    <t>Juan Ignacio</t>
  </si>
  <si>
    <t>Gerente de Clientes y Licitaciones</t>
  </si>
  <si>
    <t>15.805.887-1</t>
  </si>
  <si>
    <t>Jara</t>
  </si>
  <si>
    <t>Ochoa</t>
  </si>
  <si>
    <t>Jacqueline Carolina</t>
  </si>
  <si>
    <t>Asesor Senior de Prevención de Riesgos</t>
  </si>
  <si>
    <t>OUTSOURCING, CODELCO, Modulo 2</t>
  </si>
  <si>
    <t>13.462.122-2</t>
  </si>
  <si>
    <t>Labraña</t>
  </si>
  <si>
    <t>Gutierrez</t>
  </si>
  <si>
    <t>Maria Carolina</t>
  </si>
  <si>
    <t>Coordinador Experto</t>
  </si>
  <si>
    <t>13.035.195-6</t>
  </si>
  <si>
    <t>La Roche</t>
  </si>
  <si>
    <t>Benitez</t>
  </si>
  <si>
    <t>Udo Franz</t>
  </si>
  <si>
    <t>ASSET OPTIMIZATION</t>
  </si>
  <si>
    <t>20.465.683-5</t>
  </si>
  <si>
    <t>Morales</t>
  </si>
  <si>
    <t>Valdes</t>
  </si>
  <si>
    <t>Barbara Jesus</t>
  </si>
  <si>
    <t>Marketing Analyst</t>
  </si>
  <si>
    <t>16.163.207-4</t>
  </si>
  <si>
    <t>Morrison</t>
  </si>
  <si>
    <t>Robles</t>
  </si>
  <si>
    <t>Dawn Faye</t>
  </si>
  <si>
    <t>Asistente Comercial Bilingue</t>
  </si>
  <si>
    <t>15.475.910-7</t>
  </si>
  <si>
    <t>Jocelyn Andrea</t>
  </si>
  <si>
    <t>18.057.004-7</t>
  </si>
  <si>
    <t>Matamala</t>
  </si>
  <si>
    <t>Denisse Ninoska</t>
  </si>
  <si>
    <t>SERVICE ASSISTANT</t>
  </si>
  <si>
    <t>20.047.644-1</t>
  </si>
  <si>
    <t>Hernán Stefano</t>
  </si>
  <si>
    <t>Jefe de Administración y Control de Gestión</t>
  </si>
  <si>
    <t>18.445.816-0</t>
  </si>
  <si>
    <t>Pardo</t>
  </si>
  <si>
    <t>Sebastian Andres</t>
  </si>
  <si>
    <t>Ingeniero Senior</t>
  </si>
  <si>
    <t>21.081.959-2</t>
  </si>
  <si>
    <t>Parra</t>
  </si>
  <si>
    <t>Martín Alejandro</t>
  </si>
  <si>
    <t>Responsable de RRHH y Apoyo en Control de Gestión</t>
  </si>
  <si>
    <t>16.642.221-3</t>
  </si>
  <si>
    <t>Vasquez</t>
  </si>
  <si>
    <t>Camila Yanara</t>
  </si>
  <si>
    <t>Consultor Senior de Desarrollo</t>
  </si>
  <si>
    <t>15.310.116-7</t>
  </si>
  <si>
    <t>Narea</t>
  </si>
  <si>
    <t>Biscupovich</t>
  </si>
  <si>
    <t>Maria Paz</t>
  </si>
  <si>
    <t>CONSULTOR SENIOR</t>
  </si>
  <si>
    <t>13.792.103-0</t>
  </si>
  <si>
    <t>Neira</t>
  </si>
  <si>
    <t>Molina</t>
  </si>
  <si>
    <t>Leonardo David</t>
  </si>
  <si>
    <t>Ingeniero Proyectos</t>
  </si>
  <si>
    <t>19.983.000-7</t>
  </si>
  <si>
    <t>Nuñez</t>
  </si>
  <si>
    <t>Gonzales</t>
  </si>
  <si>
    <t>Pablo Ignacio</t>
  </si>
  <si>
    <t>Analista Supply Planning</t>
  </si>
  <si>
    <t>18.300.849-8</t>
  </si>
  <si>
    <t>Vazquez</t>
  </si>
  <si>
    <t>Giselle Andrea</t>
  </si>
  <si>
    <t>18.416.923-1</t>
  </si>
  <si>
    <t>Ojeda</t>
  </si>
  <si>
    <t>Islas</t>
  </si>
  <si>
    <t>Esteban Neftali</t>
  </si>
  <si>
    <t>Gestor Planificación y Control</t>
  </si>
  <si>
    <t>15.084.306-5</t>
  </si>
  <si>
    <t>Orellana</t>
  </si>
  <si>
    <t>Gabriel Ivan</t>
  </si>
  <si>
    <t>16.038.646-0</t>
  </si>
  <si>
    <t>Osorio</t>
  </si>
  <si>
    <t>Petersen</t>
  </si>
  <si>
    <t>Marcos Felipe</t>
  </si>
  <si>
    <t>17.392.078-4</t>
  </si>
  <si>
    <t>Pallauta</t>
  </si>
  <si>
    <t>Rossel</t>
  </si>
  <si>
    <t>Sergio Antonio</t>
  </si>
  <si>
    <t>Ingeniero Senior de Proyecto</t>
  </si>
  <si>
    <t>14.120.765-2</t>
  </si>
  <si>
    <t>Werth</t>
  </si>
  <si>
    <t>Macarena Paz</t>
  </si>
  <si>
    <t>Asistente Administrativa</t>
  </si>
  <si>
    <t>19.704.689-9</t>
  </si>
  <si>
    <t>Paz</t>
  </si>
  <si>
    <t>Martinez</t>
  </si>
  <si>
    <t>Camila Adriana</t>
  </si>
  <si>
    <t>Consultor Senior Desempeño</t>
  </si>
  <si>
    <t>15.635.202-0</t>
  </si>
  <si>
    <t>Peña</t>
  </si>
  <si>
    <t>Ávalos</t>
  </si>
  <si>
    <t>Macarena Del Pilar</t>
  </si>
  <si>
    <t>12.693.080-1</t>
  </si>
  <si>
    <t>Perez</t>
  </si>
  <si>
    <t>Miranda</t>
  </si>
  <si>
    <t>Jose Antonio</t>
  </si>
  <si>
    <t>22.335.317-7</t>
  </si>
  <si>
    <t>Pinto</t>
  </si>
  <si>
    <t>Guillen</t>
  </si>
  <si>
    <t>Carlos Enrique</t>
  </si>
  <si>
    <t>SUPERINTENDENTE DE CONTRATOS</t>
  </si>
  <si>
    <t>16.822.048-0</t>
  </si>
  <si>
    <t>Quiroz</t>
  </si>
  <si>
    <t>Jose Miguel</t>
  </si>
  <si>
    <t>Especialista de Planificación</t>
  </si>
  <si>
    <t>10.112.634-k</t>
  </si>
  <si>
    <t>Ramos</t>
  </si>
  <si>
    <t>Padilla</t>
  </si>
  <si>
    <t>Eusebio Hernan</t>
  </si>
  <si>
    <t>Gestor de Materiales</t>
  </si>
  <si>
    <t>13.601.169-3</t>
  </si>
  <si>
    <t>Riquelme</t>
  </si>
  <si>
    <t>José Alejandro</t>
  </si>
  <si>
    <t>Logistics Analyst &amp; Customer Service</t>
  </si>
  <si>
    <t>19.763.405-7</t>
  </si>
  <si>
    <t>Rivera</t>
  </si>
  <si>
    <t>Soto</t>
  </si>
  <si>
    <t>Sofia Elena</t>
  </si>
  <si>
    <t>16.435.477-6</t>
  </si>
  <si>
    <t>Zapata</t>
  </si>
  <si>
    <t>Julio Pablo</t>
  </si>
  <si>
    <t>Supervisor Relacionamiento Comunitario</t>
  </si>
  <si>
    <t>13.973.575-7</t>
  </si>
  <si>
    <t>Rojas</t>
  </si>
  <si>
    <t>Malebran</t>
  </si>
  <si>
    <t>Angelo Mauricio</t>
  </si>
  <si>
    <t>Contador Financiero</t>
  </si>
  <si>
    <t>17.115.492-8</t>
  </si>
  <si>
    <t>Vega</t>
  </si>
  <si>
    <t>Mayra Arlene</t>
  </si>
  <si>
    <t>11.516.219-5</t>
  </si>
  <si>
    <t>Roman</t>
  </si>
  <si>
    <t>Hugo Alfredo</t>
  </si>
  <si>
    <t>16.213.156-7</t>
  </si>
  <si>
    <t>Sáez</t>
  </si>
  <si>
    <t>Juan Pablo</t>
  </si>
  <si>
    <t>Gerente de Sistema y Tecnología</t>
  </si>
  <si>
    <t>15.014.481-7</t>
  </si>
  <si>
    <t>Sarria</t>
  </si>
  <si>
    <t>Briceño</t>
  </si>
  <si>
    <t>Manuel Brayan</t>
  </si>
  <si>
    <t>17.754.059-5</t>
  </si>
  <si>
    <t>Schalchli</t>
  </si>
  <si>
    <t>Robinson</t>
  </si>
  <si>
    <t>Cristian Andres</t>
  </si>
  <si>
    <t>Ingeniero Gestión Integral Contratos (EGIC)</t>
  </si>
  <si>
    <t>19.685.657-9</t>
  </si>
  <si>
    <t>Staeding</t>
  </si>
  <si>
    <t>Del Río</t>
  </si>
  <si>
    <t>Cristhian Nicolás</t>
  </si>
  <si>
    <t>Especialista de Medio Ambiente</t>
  </si>
  <si>
    <t>16.203.337-9</t>
  </si>
  <si>
    <t>Torreblanca</t>
  </si>
  <si>
    <t>Oyanedel</t>
  </si>
  <si>
    <t>Administrador de Contrato</t>
  </si>
  <si>
    <t>16.513.123-1</t>
  </si>
  <si>
    <t>Torres</t>
  </si>
  <si>
    <t>Gonzalo Andres</t>
  </si>
  <si>
    <t>16.403.006-7</t>
  </si>
  <si>
    <t>Trujillo</t>
  </si>
  <si>
    <t>Carrasco</t>
  </si>
  <si>
    <t>Joanett Angelica</t>
  </si>
  <si>
    <t>Risk Prevention Advisor</t>
  </si>
  <si>
    <t>17.155.741-0</t>
  </si>
  <si>
    <t>Valdivia</t>
  </si>
  <si>
    <t>Contreras</t>
  </si>
  <si>
    <t>Paulo Matías</t>
  </si>
  <si>
    <t>Gestor de Costos y Presupuestos</t>
  </si>
  <si>
    <t>13.884.122-7</t>
  </si>
  <si>
    <t>Verdugo</t>
  </si>
  <si>
    <t>Ortiz</t>
  </si>
  <si>
    <t>Alvaro Eduardo</t>
  </si>
  <si>
    <t>Operador Tecnológico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</si>
</sst>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Verdana"/>
      <scheme val="minor"/>
    </font>
    <font>
      <b/>
      <color theme="1"/>
      <name val="Verdana"/>
    </font>
    <font>
      <b/>
      <sz val="10.0"/>
      <color theme="1"/>
      <name val="Verdana"/>
    </font>
    <font>
      <color theme="1"/>
      <name val="Verdana"/>
    </font>
    <font>
      <color theme="1"/>
      <name val="Verdana"/>
      <scheme val="minor"/>
    </font>
    <font>
      <sz val="10.0"/>
      <color theme="1"/>
      <name val="Verdana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Font="1"/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3" numFmtId="4" xfId="0" applyAlignment="1" applyFont="1" applyNumberFormat="1">
      <alignment horizontal="right" vertical="bottom"/>
    </xf>
    <xf borderId="0" fillId="0" fontId="1" numFmtId="4" xfId="0" applyAlignment="1" applyFont="1" applyNumberFormat="1">
      <alignment horizontal="right" vertical="bottom"/>
    </xf>
    <xf borderId="0" fillId="0" fontId="4" numFmtId="0" xfId="0" applyFont="1"/>
    <xf borderId="0" fillId="0" fontId="5" numFmtId="4" xfId="0" applyFont="1" applyNumberFormat="1"/>
    <xf borderId="0" fillId="0" fontId="2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5" width="15.67"/>
    <col customWidth="1" min="6" max="6" width="37.67"/>
    <col customWidth="1" min="7" max="7" width="50.67"/>
    <col customWidth="1" min="8" max="18" width="15.67"/>
    <col customWidth="1" min="19" max="19" width="20.67"/>
    <col customWidth="1" min="20" max="20" width="15.67"/>
    <col customWidth="1" min="21" max="21" width="23.67"/>
    <col customWidth="1" min="22" max="26" width="15.67"/>
    <col customWidth="1" min="27" max="27" width="22.67"/>
    <col customWidth="1" min="28" max="30" width="15.67"/>
    <col customWidth="1" min="31" max="31" width="21.67"/>
    <col customWidth="1" min="32" max="41" width="15.67"/>
    <col customWidth="1" min="42" max="42" width="20.67"/>
    <col customWidth="1" min="43" max="44" width="15.67"/>
    <col customWidth="1" min="45" max="45" width="23.67"/>
    <col customWidth="1" min="46" max="47" width="15.67"/>
    <col customWidth="1" min="48" max="48" width="22.67"/>
    <col customWidth="1" min="49" max="51" width="15.67"/>
  </cols>
  <sheetData>
    <row r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</row>
    <row r="3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</row>
    <row r="4">
      <c r="A4" s="2" t="s">
        <v>5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</row>
    <row r="5">
      <c r="A5" s="4">
        <v>1.0</v>
      </c>
      <c r="B5" s="4">
        <v>2.0</v>
      </c>
      <c r="C5" s="4">
        <v>3.0</v>
      </c>
      <c r="D5" s="4">
        <v>4.0</v>
      </c>
      <c r="E5" s="4">
        <v>5.0</v>
      </c>
      <c r="F5" s="4">
        <v>6.0</v>
      </c>
      <c r="G5" s="4">
        <v>7.0</v>
      </c>
      <c r="H5" s="4">
        <v>8.0</v>
      </c>
      <c r="I5" s="4">
        <v>9.0</v>
      </c>
      <c r="J5" s="4">
        <v>10.0</v>
      </c>
      <c r="K5" s="4">
        <v>11.0</v>
      </c>
      <c r="L5" s="4">
        <v>12.0</v>
      </c>
      <c r="M5" s="4">
        <v>13.0</v>
      </c>
      <c r="N5" s="4">
        <v>14.0</v>
      </c>
      <c r="O5" s="4">
        <v>15.0</v>
      </c>
      <c r="P5" s="4">
        <v>16.0</v>
      </c>
      <c r="Q5" s="4">
        <v>17.0</v>
      </c>
      <c r="R5" s="4">
        <v>18.0</v>
      </c>
      <c r="S5" s="4">
        <v>19.0</v>
      </c>
      <c r="T5" s="4">
        <v>20.0</v>
      </c>
      <c r="U5" s="4">
        <v>21.0</v>
      </c>
      <c r="V5" s="4">
        <v>22.0</v>
      </c>
      <c r="W5" s="4">
        <v>23.0</v>
      </c>
      <c r="X5" s="4">
        <v>24.0</v>
      </c>
      <c r="Y5" s="4">
        <v>25.0</v>
      </c>
      <c r="Z5" s="4">
        <v>26.0</v>
      </c>
      <c r="AA5" s="4">
        <v>27.0</v>
      </c>
      <c r="AB5" s="4">
        <v>28.0</v>
      </c>
      <c r="AC5" s="4">
        <v>29.0</v>
      </c>
      <c r="AD5" s="4">
        <v>30.0</v>
      </c>
      <c r="AE5" s="4">
        <v>31.0</v>
      </c>
      <c r="AF5" s="4">
        <v>32.0</v>
      </c>
      <c r="AG5" s="4">
        <v>33.0</v>
      </c>
      <c r="AH5" s="4">
        <v>34.0</v>
      </c>
      <c r="AI5" s="4">
        <v>35.0</v>
      </c>
      <c r="AJ5" s="4">
        <v>36.0</v>
      </c>
      <c r="AK5" s="4">
        <v>37.0</v>
      </c>
      <c r="AL5" s="4">
        <v>38.0</v>
      </c>
      <c r="AM5" s="4">
        <v>39.0</v>
      </c>
      <c r="AN5" s="4">
        <v>40.0</v>
      </c>
      <c r="AO5" s="4">
        <v>41.0</v>
      </c>
      <c r="AP5" s="4">
        <v>42.0</v>
      </c>
      <c r="AQ5" s="4">
        <v>43.0</v>
      </c>
      <c r="AR5" s="4">
        <v>44.0</v>
      </c>
      <c r="AS5" s="4">
        <v>45.0</v>
      </c>
      <c r="AT5" s="4">
        <v>46.0</v>
      </c>
      <c r="AU5" s="4">
        <v>47.0</v>
      </c>
      <c r="AV5" s="4">
        <v>48.0</v>
      </c>
      <c r="AW5" s="4">
        <v>49.0</v>
      </c>
      <c r="AX5" s="4">
        <v>50.0</v>
      </c>
      <c r="AY5" s="2"/>
    </row>
    <row r="6">
      <c r="A6" s="2" t="s">
        <v>6</v>
      </c>
      <c r="B6" s="2" t="s">
        <v>7</v>
      </c>
      <c r="C6" s="2" t="s">
        <v>8</v>
      </c>
      <c r="D6" s="2" t="s">
        <v>9</v>
      </c>
      <c r="E6" s="2" t="s">
        <v>10</v>
      </c>
      <c r="F6" s="2" t="s">
        <v>11</v>
      </c>
      <c r="G6" s="2" t="s">
        <v>12</v>
      </c>
      <c r="H6" s="2" t="s">
        <v>13</v>
      </c>
      <c r="I6" s="2" t="s">
        <v>14</v>
      </c>
      <c r="J6" s="2" t="s">
        <v>15</v>
      </c>
      <c r="K6" s="2" t="s">
        <v>16</v>
      </c>
      <c r="L6" s="2" t="s">
        <v>17</v>
      </c>
      <c r="M6" s="2" t="s">
        <v>18</v>
      </c>
      <c r="N6" s="2" t="s">
        <v>19</v>
      </c>
      <c r="O6" s="2" t="s">
        <v>20</v>
      </c>
      <c r="P6" s="2" t="s">
        <v>21</v>
      </c>
      <c r="Q6" s="2" t="s">
        <v>22</v>
      </c>
      <c r="R6" s="2" t="s">
        <v>23</v>
      </c>
      <c r="S6" s="2" t="s">
        <v>24</v>
      </c>
      <c r="T6" s="2" t="s">
        <v>25</v>
      </c>
      <c r="U6" s="2" t="s">
        <v>26</v>
      </c>
      <c r="V6" s="2" t="s">
        <v>27</v>
      </c>
      <c r="W6" s="2" t="s">
        <v>28</v>
      </c>
      <c r="X6" s="2" t="s">
        <v>29</v>
      </c>
      <c r="Y6" s="2" t="s">
        <v>30</v>
      </c>
      <c r="Z6" s="2" t="s">
        <v>31</v>
      </c>
      <c r="AA6" s="2" t="s">
        <v>32</v>
      </c>
      <c r="AB6" s="2" t="s">
        <v>33</v>
      </c>
      <c r="AC6" s="2" t="s">
        <v>34</v>
      </c>
      <c r="AD6" s="2" t="s">
        <v>35</v>
      </c>
      <c r="AE6" s="2" t="s">
        <v>36</v>
      </c>
      <c r="AF6" s="2" t="s">
        <v>37</v>
      </c>
      <c r="AG6" s="2" t="s">
        <v>38</v>
      </c>
      <c r="AH6" s="2" t="s">
        <v>39</v>
      </c>
      <c r="AI6" s="2" t="s">
        <v>40</v>
      </c>
      <c r="AJ6" s="2" t="s">
        <v>41</v>
      </c>
      <c r="AK6" s="2" t="s">
        <v>42</v>
      </c>
      <c r="AL6" s="2" t="s">
        <v>43</v>
      </c>
      <c r="AM6" s="2" t="s">
        <v>44</v>
      </c>
      <c r="AN6" s="2" t="s">
        <v>45</v>
      </c>
      <c r="AO6" s="2" t="s">
        <v>46</v>
      </c>
      <c r="AP6" s="2" t="s">
        <v>47</v>
      </c>
      <c r="AQ6" s="2" t="s">
        <v>48</v>
      </c>
      <c r="AR6" s="2" t="s">
        <v>49</v>
      </c>
      <c r="AS6" s="2" t="s">
        <v>50</v>
      </c>
      <c r="AT6" s="2" t="s">
        <v>51</v>
      </c>
      <c r="AU6" s="2" t="s">
        <v>52</v>
      </c>
      <c r="AV6" s="2" t="s">
        <v>53</v>
      </c>
      <c r="AW6" s="2" t="s">
        <v>54</v>
      </c>
      <c r="AX6" s="2" t="s">
        <v>55</v>
      </c>
      <c r="AY6" s="2" t="s">
        <v>56</v>
      </c>
    </row>
    <row r="7">
      <c r="A7" s="7" t="s">
        <v>57</v>
      </c>
      <c r="B7" s="7" t="s">
        <v>58</v>
      </c>
      <c r="C7" s="7" t="s">
        <v>59</v>
      </c>
      <c r="D7" s="7" t="s">
        <v>60</v>
      </c>
      <c r="E7" s="7" t="s">
        <v>61</v>
      </c>
      <c r="F7" s="7" t="s">
        <v>62</v>
      </c>
      <c r="G7" s="7" t="s">
        <v>63</v>
      </c>
      <c r="I7" s="8">
        <v>30.0</v>
      </c>
      <c r="J7" s="8">
        <v>40.0</v>
      </c>
      <c r="K7" s="8">
        <v>0.0</v>
      </c>
      <c r="L7" s="8">
        <v>2489778.0</v>
      </c>
      <c r="M7" s="8">
        <v>2489778.0</v>
      </c>
      <c r="N7" s="8">
        <v>1797330.0</v>
      </c>
      <c r="O7" s="8">
        <v>219115.0</v>
      </c>
      <c r="P7" s="8">
        <v>0.0</v>
      </c>
      <c r="Q7" s="8">
        <v>0.0</v>
      </c>
      <c r="R7" s="8">
        <v>0.0</v>
      </c>
      <c r="Y7" s="8">
        <v>30000.0</v>
      </c>
      <c r="AA7" s="8">
        <v>473333.0</v>
      </c>
      <c r="AB7" s="8">
        <v>130000.0</v>
      </c>
      <c r="AF7" s="8">
        <v>100000.0</v>
      </c>
      <c r="AH7" s="9">
        <v>2749778.0</v>
      </c>
      <c r="AI7" s="8">
        <v>280598.0</v>
      </c>
      <c r="AJ7" s="8">
        <v>0.0</v>
      </c>
      <c r="AK7" s="8">
        <v>174284.0</v>
      </c>
      <c r="AL7" s="8">
        <v>0.0</v>
      </c>
      <c r="AM7" s="8">
        <v>14939.0</v>
      </c>
      <c r="AN7" s="8">
        <v>42108.0</v>
      </c>
      <c r="AO7" s="8">
        <v>0.0</v>
      </c>
      <c r="AW7" s="9">
        <v>511929.0</v>
      </c>
      <c r="AX7" s="9">
        <v>2237849.0</v>
      </c>
      <c r="AY7" s="9">
        <f>VLOOKUP(A7,'Hoja 1'!A:AX,50,0)-AX7</f>
        <v>0</v>
      </c>
    </row>
    <row r="8">
      <c r="A8" s="7" t="s">
        <v>65</v>
      </c>
      <c r="B8" s="7" t="s">
        <v>58</v>
      </c>
      <c r="C8" s="7" t="s">
        <v>66</v>
      </c>
      <c r="D8" s="7" t="s">
        <v>67</v>
      </c>
      <c r="E8" s="7" t="s">
        <v>68</v>
      </c>
      <c r="F8" s="7" t="s">
        <v>69</v>
      </c>
      <c r="G8" s="7" t="s">
        <v>70</v>
      </c>
      <c r="H8" s="7" t="s">
        <v>71</v>
      </c>
      <c r="I8" s="8">
        <v>0.0</v>
      </c>
      <c r="J8" s="8">
        <v>40.0</v>
      </c>
      <c r="K8" s="8">
        <v>0.0</v>
      </c>
      <c r="L8" s="8">
        <v>0.0</v>
      </c>
      <c r="M8" s="8">
        <v>0.0</v>
      </c>
      <c r="N8" s="8">
        <v>0.0</v>
      </c>
      <c r="O8" s="8">
        <v>0.0</v>
      </c>
      <c r="P8" s="8">
        <v>0.0</v>
      </c>
      <c r="Q8" s="8">
        <v>0.0</v>
      </c>
      <c r="R8" s="8">
        <v>0.0</v>
      </c>
      <c r="AB8" s="8">
        <v>0.0</v>
      </c>
      <c r="AF8" s="8">
        <v>0.0</v>
      </c>
      <c r="AH8" s="9">
        <v>0.0</v>
      </c>
      <c r="AI8" s="8">
        <v>0.0</v>
      </c>
      <c r="AJ8" s="8">
        <v>0.0</v>
      </c>
      <c r="AK8" s="8">
        <v>0.0</v>
      </c>
      <c r="AL8" s="8">
        <v>0.0</v>
      </c>
      <c r="AM8" s="8">
        <v>0.0</v>
      </c>
      <c r="AN8" s="8">
        <v>0.0</v>
      </c>
      <c r="AO8" s="8">
        <v>0.0</v>
      </c>
      <c r="AW8" s="9">
        <v>0.0</v>
      </c>
      <c r="AX8" s="9">
        <v>0.0</v>
      </c>
      <c r="AY8" s="9">
        <f>VLOOKUP(A8,'Hoja 1'!A:AX,50,0)-AX8</f>
        <v>0</v>
      </c>
    </row>
    <row r="9">
      <c r="A9" s="7" t="s">
        <v>72</v>
      </c>
      <c r="B9" s="7" t="s">
        <v>58</v>
      </c>
      <c r="C9" s="7" t="s">
        <v>73</v>
      </c>
      <c r="D9" s="7" t="s">
        <v>74</v>
      </c>
      <c r="E9" s="7" t="s">
        <v>75</v>
      </c>
      <c r="F9" s="7" t="s">
        <v>76</v>
      </c>
      <c r="G9" s="7" t="s">
        <v>63</v>
      </c>
      <c r="I9" s="8">
        <v>30.0</v>
      </c>
      <c r="J9" s="8">
        <v>40.0</v>
      </c>
      <c r="K9" s="8">
        <v>0.0</v>
      </c>
      <c r="L9" s="8">
        <v>2002961.0</v>
      </c>
      <c r="M9" s="8">
        <v>2002961.0</v>
      </c>
      <c r="N9" s="8">
        <v>1310513.0</v>
      </c>
      <c r="O9" s="8">
        <v>219115.0</v>
      </c>
      <c r="P9" s="8">
        <v>0.0</v>
      </c>
      <c r="Q9" s="8">
        <v>0.0</v>
      </c>
      <c r="R9" s="8">
        <v>0.0</v>
      </c>
      <c r="Y9" s="8">
        <v>75000.0</v>
      </c>
      <c r="AA9" s="8">
        <v>473333.0</v>
      </c>
      <c r="AB9" s="8">
        <v>150000.0</v>
      </c>
      <c r="AF9" s="8">
        <v>75000.0</v>
      </c>
      <c r="AH9" s="9">
        <v>2302961.0</v>
      </c>
      <c r="AI9" s="8">
        <v>209510.0</v>
      </c>
      <c r="AJ9" s="8">
        <v>5000.0</v>
      </c>
      <c r="AK9" s="8">
        <v>140207.0</v>
      </c>
      <c r="AL9" s="8">
        <v>0.0</v>
      </c>
      <c r="AM9" s="8">
        <v>12018.0</v>
      </c>
      <c r="AN9" s="8">
        <v>26959.0</v>
      </c>
      <c r="AO9" s="8">
        <v>0.0</v>
      </c>
      <c r="AR9" s="8">
        <v>65000.0</v>
      </c>
      <c r="AW9" s="9">
        <v>458694.0</v>
      </c>
      <c r="AX9" s="9">
        <v>1844267.0</v>
      </c>
      <c r="AY9" s="9">
        <f>VLOOKUP(A9,'Hoja 1'!A:AX,50,0)-AX9</f>
        <v>0</v>
      </c>
    </row>
    <row r="10">
      <c r="A10" s="7" t="s">
        <v>83</v>
      </c>
      <c r="B10" s="7" t="s">
        <v>58</v>
      </c>
      <c r="C10" s="7" t="s">
        <v>84</v>
      </c>
      <c r="D10" s="7" t="s">
        <v>85</v>
      </c>
      <c r="E10" s="7" t="s">
        <v>86</v>
      </c>
      <c r="F10" s="7" t="s">
        <v>87</v>
      </c>
      <c r="G10" s="7" t="s">
        <v>88</v>
      </c>
      <c r="H10" s="7" t="s">
        <v>71</v>
      </c>
      <c r="I10" s="8">
        <v>30.0</v>
      </c>
      <c r="J10" s="8">
        <v>42.0</v>
      </c>
      <c r="K10" s="8">
        <v>0.0</v>
      </c>
      <c r="L10" s="8">
        <v>1025146.0</v>
      </c>
      <c r="M10" s="8">
        <v>1025146.0</v>
      </c>
      <c r="N10" s="8">
        <v>820117.0</v>
      </c>
      <c r="O10" s="8">
        <v>205029.0</v>
      </c>
      <c r="P10" s="8">
        <v>0.0</v>
      </c>
      <c r="Q10" s="8">
        <v>0.0</v>
      </c>
      <c r="R10" s="8">
        <v>0.0</v>
      </c>
      <c r="AB10" s="8">
        <v>90000.0</v>
      </c>
      <c r="AF10" s="8">
        <v>90000.0</v>
      </c>
      <c r="AH10" s="9">
        <v>1205146.0</v>
      </c>
      <c r="AI10" s="8">
        <v>108460.0</v>
      </c>
      <c r="AJ10" s="8">
        <v>0.0</v>
      </c>
      <c r="AK10" s="8">
        <v>71760.0</v>
      </c>
      <c r="AL10" s="8">
        <v>0.0</v>
      </c>
      <c r="AM10" s="8">
        <v>6151.0</v>
      </c>
      <c r="AN10" s="8">
        <v>0.0</v>
      </c>
      <c r="AO10" s="8">
        <v>0.0</v>
      </c>
      <c r="AW10" s="9">
        <v>186371.0</v>
      </c>
      <c r="AX10" s="9">
        <v>1018775.0</v>
      </c>
      <c r="AY10" s="9">
        <f>VLOOKUP(A10,'Hoja 1'!A:AX,50,0)-AX10</f>
        <v>0</v>
      </c>
    </row>
    <row r="11">
      <c r="A11" s="7" t="s">
        <v>95</v>
      </c>
      <c r="B11" s="7" t="s">
        <v>58</v>
      </c>
      <c r="C11" s="7" t="s">
        <v>97</v>
      </c>
      <c r="D11" s="7" t="s">
        <v>100</v>
      </c>
      <c r="E11" s="7" t="s">
        <v>101</v>
      </c>
      <c r="F11" s="7" t="s">
        <v>102</v>
      </c>
      <c r="G11" s="7" t="s">
        <v>104</v>
      </c>
      <c r="H11" s="7" t="s">
        <v>106</v>
      </c>
      <c r="I11" s="8">
        <v>30.0</v>
      </c>
      <c r="J11" s="8">
        <v>44.0</v>
      </c>
      <c r="K11" s="8">
        <v>0.0</v>
      </c>
      <c r="L11" s="8">
        <v>3678639.0</v>
      </c>
      <c r="M11" s="8">
        <v>5526134.0</v>
      </c>
      <c r="N11" s="8">
        <v>1.2365703E7</v>
      </c>
      <c r="O11" s="8">
        <v>219115.0</v>
      </c>
      <c r="P11" s="8">
        <v>0.0</v>
      </c>
      <c r="Q11" s="8">
        <v>0.0</v>
      </c>
      <c r="R11" s="8">
        <v>0.0</v>
      </c>
      <c r="AH11" s="9">
        <v>1.2584818E7</v>
      </c>
      <c r="AI11" s="8">
        <v>420836.0</v>
      </c>
      <c r="AJ11" s="8">
        <v>0.0</v>
      </c>
      <c r="AK11" s="8">
        <v>257505.0</v>
      </c>
      <c r="AL11" s="8">
        <v>125278.0</v>
      </c>
      <c r="AM11" s="8">
        <v>0.0</v>
      </c>
      <c r="AN11" s="8">
        <v>2496412.0</v>
      </c>
      <c r="AO11" s="8">
        <v>0.0</v>
      </c>
      <c r="AW11" s="9">
        <v>3300031.0</v>
      </c>
      <c r="AX11" s="9">
        <v>9284787.0</v>
      </c>
      <c r="AY11" s="9">
        <f>VLOOKUP(A11,'Hoja 1'!A:AX,50,0)-AX11</f>
        <v>0</v>
      </c>
    </row>
    <row r="12">
      <c r="A12" s="7" t="s">
        <v>112</v>
      </c>
      <c r="B12" s="7" t="s">
        <v>58</v>
      </c>
      <c r="C12" s="7" t="s">
        <v>97</v>
      </c>
      <c r="D12" s="7" t="s">
        <v>100</v>
      </c>
      <c r="E12" s="7" t="s">
        <v>113</v>
      </c>
      <c r="F12" s="7" t="s">
        <v>114</v>
      </c>
      <c r="G12" s="7" t="s">
        <v>104</v>
      </c>
      <c r="H12" s="7" t="s">
        <v>106</v>
      </c>
      <c r="I12" s="8">
        <v>30.0</v>
      </c>
      <c r="J12" s="8">
        <v>42.0</v>
      </c>
      <c r="K12" s="8">
        <v>0.0</v>
      </c>
      <c r="L12" s="8">
        <v>861875.0</v>
      </c>
      <c r="M12" s="8">
        <v>861875.0</v>
      </c>
      <c r="N12" s="8">
        <v>689500.0</v>
      </c>
      <c r="O12" s="8">
        <v>172375.0</v>
      </c>
      <c r="P12" s="8">
        <v>0.0</v>
      </c>
      <c r="Q12" s="8">
        <v>0.0</v>
      </c>
      <c r="R12" s="8">
        <v>0.0</v>
      </c>
      <c r="AH12" s="9">
        <v>861875.0</v>
      </c>
      <c r="AI12" s="8">
        <v>96185.0</v>
      </c>
      <c r="AJ12" s="8">
        <v>0.0</v>
      </c>
      <c r="AK12" s="8">
        <v>60331.0</v>
      </c>
      <c r="AL12" s="8">
        <v>156136.0</v>
      </c>
      <c r="AM12" s="8">
        <v>5171.0</v>
      </c>
      <c r="AN12" s="8">
        <v>0.0</v>
      </c>
      <c r="AO12" s="8">
        <v>0.0</v>
      </c>
      <c r="AW12" s="9">
        <v>317823.0</v>
      </c>
      <c r="AX12" s="9">
        <v>544052.0</v>
      </c>
      <c r="AY12" s="9">
        <f>VLOOKUP(A12,'Hoja 1'!A:AX,50,0)-AX12</f>
        <v>0</v>
      </c>
    </row>
    <row r="13">
      <c r="A13" s="7" t="s">
        <v>120</v>
      </c>
      <c r="B13" s="7" t="s">
        <v>58</v>
      </c>
      <c r="C13" s="7" t="s">
        <v>121</v>
      </c>
      <c r="D13" s="7" t="s">
        <v>122</v>
      </c>
      <c r="E13" s="7" t="s">
        <v>123</v>
      </c>
      <c r="F13" s="7" t="s">
        <v>124</v>
      </c>
      <c r="G13" s="7" t="s">
        <v>125</v>
      </c>
      <c r="H13" s="7" t="s">
        <v>71</v>
      </c>
      <c r="I13" s="8">
        <v>30.0</v>
      </c>
      <c r="J13" s="8">
        <v>44.0</v>
      </c>
      <c r="K13" s="8">
        <v>0.0</v>
      </c>
      <c r="L13" s="8">
        <v>800000.0</v>
      </c>
      <c r="M13" s="8">
        <v>800000.0</v>
      </c>
      <c r="N13" s="8">
        <v>640000.0</v>
      </c>
      <c r="O13" s="8">
        <v>160000.0</v>
      </c>
      <c r="P13" s="8">
        <v>0.0</v>
      </c>
      <c r="Q13" s="8">
        <v>0.0</v>
      </c>
      <c r="R13" s="8">
        <v>0.0</v>
      </c>
      <c r="AH13" s="9">
        <v>800000.0</v>
      </c>
      <c r="AI13" s="8">
        <v>83680.0</v>
      </c>
      <c r="AJ13" s="8">
        <v>0.0</v>
      </c>
      <c r="AK13" s="8">
        <v>56000.0</v>
      </c>
      <c r="AL13" s="8">
        <v>0.0</v>
      </c>
      <c r="AM13" s="8">
        <v>4800.0</v>
      </c>
      <c r="AN13" s="8">
        <v>0.0</v>
      </c>
      <c r="AO13" s="8">
        <v>0.0</v>
      </c>
      <c r="AW13" s="9">
        <v>144480.0</v>
      </c>
      <c r="AX13" s="9">
        <v>655520.0</v>
      </c>
      <c r="AY13" s="9">
        <f>VLOOKUP(A13,'Hoja 1'!A:AX,50,0)-AX13</f>
        <v>0</v>
      </c>
    </row>
    <row r="14">
      <c r="A14" s="7" t="s">
        <v>126</v>
      </c>
      <c r="B14" s="7" t="s">
        <v>58</v>
      </c>
      <c r="C14" s="7" t="s">
        <v>127</v>
      </c>
      <c r="D14" s="7" t="s">
        <v>128</v>
      </c>
      <c r="E14" s="7" t="s">
        <v>129</v>
      </c>
      <c r="F14" s="7" t="s">
        <v>130</v>
      </c>
      <c r="G14" s="7" t="s">
        <v>131</v>
      </c>
      <c r="H14" s="7" t="s">
        <v>71</v>
      </c>
      <c r="I14" s="8">
        <v>30.0</v>
      </c>
      <c r="J14" s="8">
        <v>40.0</v>
      </c>
      <c r="K14" s="8">
        <v>0.0</v>
      </c>
      <c r="L14" s="8">
        <v>2500533.0</v>
      </c>
      <c r="M14" s="8">
        <v>2500533.0</v>
      </c>
      <c r="N14" s="8">
        <v>2281418.0</v>
      </c>
      <c r="O14" s="8">
        <v>219115.0</v>
      </c>
      <c r="P14" s="8">
        <v>0.0</v>
      </c>
      <c r="Q14" s="8">
        <v>0.0</v>
      </c>
      <c r="R14" s="8">
        <v>0.0</v>
      </c>
      <c r="AH14" s="9">
        <v>2500533.0</v>
      </c>
      <c r="AI14" s="8">
        <v>261556.0</v>
      </c>
      <c r="AJ14" s="8">
        <v>0.0</v>
      </c>
      <c r="AK14" s="8">
        <v>175037.0</v>
      </c>
      <c r="AL14" s="8">
        <v>55328.0</v>
      </c>
      <c r="AM14" s="8">
        <v>0.0</v>
      </c>
      <c r="AN14" s="8">
        <v>41654.0</v>
      </c>
      <c r="AO14" s="8">
        <v>0.0</v>
      </c>
      <c r="AW14" s="9">
        <v>533575.0</v>
      </c>
      <c r="AX14" s="9">
        <v>1966958.0</v>
      </c>
      <c r="AY14" s="9">
        <f>VLOOKUP(A14,'Hoja 1'!A:AX,50,0)-AX14</f>
        <v>0</v>
      </c>
    </row>
    <row r="15">
      <c r="A15" s="7" t="s">
        <v>132</v>
      </c>
      <c r="B15" s="7" t="s">
        <v>58</v>
      </c>
      <c r="C15" s="7" t="s">
        <v>133</v>
      </c>
      <c r="D15" s="7" t="s">
        <v>134</v>
      </c>
      <c r="E15" s="7" t="s">
        <v>135</v>
      </c>
      <c r="F15" s="7" t="s">
        <v>136</v>
      </c>
      <c r="G15" s="7" t="s">
        <v>125</v>
      </c>
      <c r="H15" s="7" t="s">
        <v>71</v>
      </c>
      <c r="I15" s="8">
        <v>30.0</v>
      </c>
      <c r="J15" s="8">
        <v>42.0</v>
      </c>
      <c r="K15" s="8">
        <v>0.0</v>
      </c>
      <c r="L15" s="8">
        <v>1356403.0</v>
      </c>
      <c r="M15" s="8">
        <v>1356403.0</v>
      </c>
      <c r="N15" s="8">
        <v>1137288.0</v>
      </c>
      <c r="O15" s="8">
        <v>219115.0</v>
      </c>
      <c r="P15" s="8">
        <v>0.0</v>
      </c>
      <c r="Q15" s="8">
        <v>0.0</v>
      </c>
      <c r="R15" s="8">
        <v>0.0</v>
      </c>
      <c r="AH15" s="9">
        <v>1356403.0</v>
      </c>
      <c r="AI15" s="8">
        <v>143507.0</v>
      </c>
      <c r="AJ15" s="8">
        <v>0.0</v>
      </c>
      <c r="AK15" s="8">
        <v>94948.0</v>
      </c>
      <c r="AL15" s="8">
        <v>0.0</v>
      </c>
      <c r="AM15" s="8">
        <v>8138.0</v>
      </c>
      <c r="AN15" s="8">
        <v>5702.0</v>
      </c>
      <c r="AO15" s="8">
        <v>0.0</v>
      </c>
      <c r="AW15" s="9">
        <v>252295.0</v>
      </c>
      <c r="AX15" s="9">
        <v>1104108.0</v>
      </c>
      <c r="AY15" s="9">
        <f>VLOOKUP(A15,'Hoja 1'!A:AX,50,0)-AX15</f>
        <v>0</v>
      </c>
    </row>
    <row r="16">
      <c r="A16" s="7" t="s">
        <v>137</v>
      </c>
      <c r="B16" s="7" t="s">
        <v>58</v>
      </c>
      <c r="C16" s="7" t="s">
        <v>138</v>
      </c>
      <c r="D16" s="7" t="s">
        <v>139</v>
      </c>
      <c r="E16" s="7" t="s">
        <v>140</v>
      </c>
      <c r="F16" s="7" t="s">
        <v>141</v>
      </c>
      <c r="G16" s="7" t="s">
        <v>70</v>
      </c>
      <c r="H16" s="7" t="s">
        <v>71</v>
      </c>
      <c r="I16" s="8">
        <v>29.0</v>
      </c>
      <c r="J16" s="8">
        <v>40.0</v>
      </c>
      <c r="K16" s="8">
        <v>0.0</v>
      </c>
      <c r="L16" s="8">
        <v>1283580.0</v>
      </c>
      <c r="M16" s="8">
        <v>1283580.0</v>
      </c>
      <c r="N16" s="8">
        <v>1064465.0</v>
      </c>
      <c r="O16" s="8">
        <v>219115.0</v>
      </c>
      <c r="P16" s="8">
        <v>0.0</v>
      </c>
      <c r="Q16" s="8">
        <v>0.0</v>
      </c>
      <c r="R16" s="8">
        <v>0.0</v>
      </c>
      <c r="T16" s="8">
        <v>350000.0</v>
      </c>
      <c r="AB16" s="8">
        <v>43500.0</v>
      </c>
      <c r="AF16" s="8">
        <v>43500.0</v>
      </c>
      <c r="AH16" s="9">
        <v>1720580.0</v>
      </c>
      <c r="AI16" s="8">
        <v>135803.0</v>
      </c>
      <c r="AJ16" s="8">
        <v>0.0</v>
      </c>
      <c r="AK16" s="8">
        <v>89851.0</v>
      </c>
      <c r="AL16" s="8">
        <v>0.0</v>
      </c>
      <c r="AM16" s="8">
        <v>7701.0</v>
      </c>
      <c r="AN16" s="8">
        <v>3319.0</v>
      </c>
      <c r="AO16" s="8">
        <v>0.0</v>
      </c>
      <c r="AW16" s="9">
        <v>236674.0</v>
      </c>
      <c r="AX16" s="9">
        <v>1483906.0</v>
      </c>
      <c r="AY16" s="9">
        <f>VLOOKUP(A16,'Hoja 1'!A:AX,50,0)-AX16</f>
        <v>-350000</v>
      </c>
    </row>
    <row r="17">
      <c r="A17" s="7" t="s">
        <v>142</v>
      </c>
      <c r="B17" s="7" t="s">
        <v>58</v>
      </c>
      <c r="C17" s="7" t="s">
        <v>143</v>
      </c>
      <c r="D17" s="7" t="s">
        <v>144</v>
      </c>
      <c r="E17" s="7" t="s">
        <v>145</v>
      </c>
      <c r="F17" s="7" t="s">
        <v>146</v>
      </c>
      <c r="G17" s="7" t="s">
        <v>147</v>
      </c>
      <c r="H17" s="7" t="s">
        <v>71</v>
      </c>
      <c r="I17" s="8">
        <v>30.0</v>
      </c>
      <c r="J17" s="8">
        <v>42.0</v>
      </c>
      <c r="K17" s="8">
        <v>0.0</v>
      </c>
      <c r="L17" s="8">
        <v>847959.0</v>
      </c>
      <c r="M17" s="8">
        <v>847959.0</v>
      </c>
      <c r="N17" s="8">
        <v>678367.0</v>
      </c>
      <c r="O17" s="8">
        <v>169592.0</v>
      </c>
      <c r="P17" s="8">
        <v>0.0</v>
      </c>
      <c r="Q17" s="8">
        <v>0.0</v>
      </c>
      <c r="R17" s="8">
        <v>0.0</v>
      </c>
      <c r="AB17" s="8">
        <v>90000.0</v>
      </c>
      <c r="AF17" s="8">
        <v>90000.0</v>
      </c>
      <c r="AH17" s="9">
        <v>1027959.0</v>
      </c>
      <c r="AI17" s="8">
        <v>89714.0</v>
      </c>
      <c r="AJ17" s="8">
        <v>0.0</v>
      </c>
      <c r="AK17" s="8">
        <v>59357.0</v>
      </c>
      <c r="AL17" s="8">
        <v>0.0</v>
      </c>
      <c r="AM17" s="8">
        <v>5088.0</v>
      </c>
      <c r="AN17" s="8">
        <v>0.0</v>
      </c>
      <c r="AO17" s="8">
        <v>0.0</v>
      </c>
      <c r="AW17" s="9">
        <v>154159.0</v>
      </c>
      <c r="AX17" s="9">
        <v>873800.0</v>
      </c>
      <c r="AY17" s="9">
        <f>VLOOKUP(A17,'Hoja 1'!A:AX,50,0)-AX17</f>
        <v>0</v>
      </c>
    </row>
    <row r="18">
      <c r="A18" s="7" t="s">
        <v>148</v>
      </c>
      <c r="B18" s="7" t="s">
        <v>58</v>
      </c>
      <c r="C18" s="7" t="s">
        <v>149</v>
      </c>
      <c r="D18" s="7" t="s">
        <v>150</v>
      </c>
      <c r="E18" s="7" t="s">
        <v>151</v>
      </c>
      <c r="F18" s="7" t="s">
        <v>152</v>
      </c>
      <c r="G18" s="7" t="s">
        <v>153</v>
      </c>
      <c r="H18" s="7" t="s">
        <v>106</v>
      </c>
      <c r="I18" s="8">
        <v>30.0</v>
      </c>
      <c r="J18" s="8">
        <v>42.0</v>
      </c>
      <c r="K18" s="8">
        <v>0.0</v>
      </c>
      <c r="L18" s="8">
        <v>1758961.0</v>
      </c>
      <c r="M18" s="8">
        <v>1758961.0</v>
      </c>
      <c r="N18" s="8">
        <v>1539846.0</v>
      </c>
      <c r="O18" s="8">
        <v>219115.0</v>
      </c>
      <c r="P18" s="8">
        <v>0.0</v>
      </c>
      <c r="Q18" s="8">
        <v>0.0</v>
      </c>
      <c r="R18" s="8">
        <v>0.0</v>
      </c>
      <c r="AB18" s="8">
        <v>100000.0</v>
      </c>
      <c r="AF18" s="8">
        <v>100000.0</v>
      </c>
      <c r="AH18" s="9">
        <v>1958961.0</v>
      </c>
      <c r="AI18" s="8">
        <v>186098.0</v>
      </c>
      <c r="AJ18" s="8">
        <v>0.0</v>
      </c>
      <c r="AK18" s="8">
        <v>123127.0</v>
      </c>
      <c r="AL18" s="8">
        <v>1865.0</v>
      </c>
      <c r="AM18" s="8">
        <v>10554.0</v>
      </c>
      <c r="AN18" s="8">
        <v>18802.0</v>
      </c>
      <c r="AO18" s="8">
        <v>0.0</v>
      </c>
      <c r="AQ18" s="8">
        <v>19800.0</v>
      </c>
      <c r="AW18" s="9">
        <v>360246.0</v>
      </c>
      <c r="AX18" s="9">
        <v>1598715.0</v>
      </c>
      <c r="AY18" s="9">
        <f>VLOOKUP(A18,'Hoja 1'!A:AX,50,0)-AX18</f>
        <v>0</v>
      </c>
    </row>
    <row r="19">
      <c r="A19" s="7" t="s">
        <v>154</v>
      </c>
      <c r="B19" s="7" t="s">
        <v>58</v>
      </c>
      <c r="C19" s="7" t="s">
        <v>155</v>
      </c>
      <c r="D19" s="7" t="s">
        <v>156</v>
      </c>
      <c r="E19" s="7" t="s">
        <v>157</v>
      </c>
      <c r="F19" s="7" t="s">
        <v>158</v>
      </c>
      <c r="G19" s="7" t="s">
        <v>159</v>
      </c>
      <c r="H19" s="7" t="s">
        <v>71</v>
      </c>
      <c r="I19" s="8">
        <v>30.0</v>
      </c>
      <c r="J19" s="8">
        <v>40.0</v>
      </c>
      <c r="K19" s="8">
        <v>0.0</v>
      </c>
      <c r="L19" s="8">
        <v>2018709.0</v>
      </c>
      <c r="M19" s="8">
        <v>2018709.0</v>
      </c>
      <c r="N19" s="8">
        <v>1484039.0</v>
      </c>
      <c r="O19" s="8">
        <v>219115.0</v>
      </c>
      <c r="P19" s="8">
        <v>0.0</v>
      </c>
      <c r="Q19" s="8">
        <v>0.0</v>
      </c>
      <c r="R19" s="8">
        <v>0.0</v>
      </c>
      <c r="AB19" s="8">
        <v>100000.0</v>
      </c>
      <c r="AE19" s="8">
        <v>315555.0</v>
      </c>
      <c r="AF19" s="8">
        <v>100000.0</v>
      </c>
      <c r="AH19" s="9">
        <v>2218709.0</v>
      </c>
      <c r="AI19" s="8">
        <v>213579.0</v>
      </c>
      <c r="AJ19" s="8">
        <v>0.0</v>
      </c>
      <c r="AK19" s="8">
        <v>141310.0</v>
      </c>
      <c r="AL19" s="8">
        <v>0.0</v>
      </c>
      <c r="AM19" s="8">
        <v>12112.0</v>
      </c>
      <c r="AN19" s="8">
        <v>27378.0</v>
      </c>
      <c r="AO19" s="8">
        <v>0.0</v>
      </c>
      <c r="AW19" s="9">
        <v>394379.0</v>
      </c>
      <c r="AX19" s="9">
        <v>1824330.0</v>
      </c>
      <c r="AY19" s="9">
        <f>VLOOKUP(A19,'Hoja 1'!A:AX,50,0)-AX19</f>
        <v>0</v>
      </c>
    </row>
    <row r="20">
      <c r="A20" s="7" t="s">
        <v>160</v>
      </c>
      <c r="B20" s="7" t="s">
        <v>58</v>
      </c>
      <c r="C20" s="7" t="s">
        <v>161</v>
      </c>
      <c r="D20" s="7" t="s">
        <v>84</v>
      </c>
      <c r="E20" s="7" t="s">
        <v>162</v>
      </c>
      <c r="F20" s="7" t="s">
        <v>163</v>
      </c>
      <c r="G20" s="7" t="s">
        <v>104</v>
      </c>
      <c r="H20" s="7" t="s">
        <v>106</v>
      </c>
      <c r="I20" s="8">
        <v>30.0</v>
      </c>
      <c r="J20" s="8">
        <v>42.0</v>
      </c>
      <c r="K20" s="8">
        <v>0.0</v>
      </c>
      <c r="L20" s="8">
        <v>2071498.0</v>
      </c>
      <c r="M20" s="8">
        <v>2071498.0</v>
      </c>
      <c r="N20" s="8">
        <v>1852383.0</v>
      </c>
      <c r="O20" s="8">
        <v>219115.0</v>
      </c>
      <c r="P20" s="8">
        <v>0.0</v>
      </c>
      <c r="Q20" s="8">
        <v>0.0</v>
      </c>
      <c r="R20" s="8">
        <v>0.0</v>
      </c>
      <c r="AB20" s="8">
        <v>80000.0</v>
      </c>
      <c r="AF20" s="8">
        <v>80000.0</v>
      </c>
      <c r="AH20" s="9">
        <v>2231498.0</v>
      </c>
      <c r="AI20" s="8">
        <v>233458.0</v>
      </c>
      <c r="AJ20" s="8">
        <v>0.0</v>
      </c>
      <c r="AK20" s="8">
        <v>145005.0</v>
      </c>
      <c r="AL20" s="8">
        <v>42933.0</v>
      </c>
      <c r="AM20" s="8">
        <v>12429.0</v>
      </c>
      <c r="AN20" s="8">
        <v>26816.0</v>
      </c>
      <c r="AO20" s="8">
        <v>0.0</v>
      </c>
      <c r="AW20" s="9">
        <v>460641.0</v>
      </c>
      <c r="AX20" s="9">
        <v>1770857.0</v>
      </c>
      <c r="AY20" s="9">
        <f>VLOOKUP(A20,'Hoja 1'!A:AX,50,0)-AX20</f>
        <v>0</v>
      </c>
    </row>
    <row r="21" ht="15.75" customHeight="1">
      <c r="A21" s="7" t="s">
        <v>164</v>
      </c>
      <c r="B21" s="7" t="s">
        <v>58</v>
      </c>
      <c r="C21" s="7" t="s">
        <v>165</v>
      </c>
      <c r="D21" s="7" t="s">
        <v>166</v>
      </c>
      <c r="E21" s="7" t="s">
        <v>167</v>
      </c>
      <c r="F21" s="7" t="s">
        <v>168</v>
      </c>
      <c r="G21" s="7" t="s">
        <v>131</v>
      </c>
      <c r="H21" s="7" t="s">
        <v>71</v>
      </c>
      <c r="I21" s="8">
        <v>30.0</v>
      </c>
      <c r="J21" s="8">
        <v>42.0</v>
      </c>
      <c r="K21" s="8">
        <v>0.0</v>
      </c>
      <c r="L21" s="8">
        <v>2279115.0</v>
      </c>
      <c r="M21" s="8">
        <v>2279115.0</v>
      </c>
      <c r="N21" s="8">
        <v>2060000.0</v>
      </c>
      <c r="O21" s="8">
        <v>219115.0</v>
      </c>
      <c r="P21" s="8">
        <v>0.0</v>
      </c>
      <c r="Q21" s="8">
        <v>0.0</v>
      </c>
      <c r="R21" s="8">
        <v>0.0</v>
      </c>
      <c r="AB21" s="8">
        <v>100000.0</v>
      </c>
      <c r="AF21" s="8">
        <v>100000.0</v>
      </c>
      <c r="AH21" s="9">
        <v>2479115.0</v>
      </c>
      <c r="AI21" s="8">
        <v>238395.0</v>
      </c>
      <c r="AJ21" s="8">
        <v>0.0</v>
      </c>
      <c r="AK21" s="8">
        <v>159538.0</v>
      </c>
      <c r="AL21" s="8">
        <v>89138.0</v>
      </c>
      <c r="AM21" s="8">
        <v>13675.0</v>
      </c>
      <c r="AN21" s="8">
        <v>32444.0</v>
      </c>
      <c r="AO21" s="8">
        <v>0.0</v>
      </c>
      <c r="AP21" s="8">
        <v>100000.0</v>
      </c>
      <c r="AW21" s="9">
        <v>633190.0</v>
      </c>
      <c r="AX21" s="9">
        <v>1845925.0</v>
      </c>
      <c r="AY21" s="9">
        <f>VLOOKUP(A21,'Hoja 1'!A:AX,50,0)-AX21</f>
        <v>0</v>
      </c>
    </row>
    <row r="22" ht="15.75" customHeight="1">
      <c r="A22" s="7" t="s">
        <v>169</v>
      </c>
      <c r="B22" s="7" t="s">
        <v>58</v>
      </c>
      <c r="C22" s="7" t="s">
        <v>170</v>
      </c>
      <c r="D22" s="7" t="s">
        <v>122</v>
      </c>
      <c r="E22" s="7" t="s">
        <v>171</v>
      </c>
      <c r="F22" s="7" t="s">
        <v>172</v>
      </c>
      <c r="G22" s="7" t="s">
        <v>173</v>
      </c>
      <c r="H22" s="7" t="s">
        <v>71</v>
      </c>
      <c r="I22" s="8">
        <v>30.0</v>
      </c>
      <c r="J22" s="8">
        <v>37.0</v>
      </c>
      <c r="K22" s="8">
        <v>0.0</v>
      </c>
      <c r="L22" s="8">
        <v>2816897.0</v>
      </c>
      <c r="M22" s="8">
        <v>2816897.0</v>
      </c>
      <c r="N22" s="8">
        <v>2597782.0</v>
      </c>
      <c r="O22" s="8">
        <v>219115.0</v>
      </c>
      <c r="P22" s="8">
        <v>0.0</v>
      </c>
      <c r="Q22" s="8">
        <v>0.0</v>
      </c>
      <c r="R22" s="8">
        <v>0.0</v>
      </c>
      <c r="AB22" s="8">
        <v>280000.0</v>
      </c>
      <c r="AF22" s="8">
        <v>280000.0</v>
      </c>
      <c r="AH22" s="9">
        <v>3376897.0</v>
      </c>
      <c r="AI22" s="8">
        <v>314366.0</v>
      </c>
      <c r="AJ22" s="8">
        <v>0.0</v>
      </c>
      <c r="AK22" s="8">
        <v>197183.0</v>
      </c>
      <c r="AL22" s="8">
        <v>37473.0</v>
      </c>
      <c r="AM22" s="8">
        <v>16901.0</v>
      </c>
      <c r="AN22" s="8">
        <v>55409.0</v>
      </c>
      <c r="AO22" s="8">
        <v>0.0</v>
      </c>
      <c r="AW22" s="9">
        <v>621332.0</v>
      </c>
      <c r="AX22" s="9">
        <v>2755565.0</v>
      </c>
      <c r="AY22" s="9">
        <f>VLOOKUP(A22,'Hoja 1'!A:AX,50,0)-AX22</f>
        <v>0</v>
      </c>
    </row>
    <row r="23" ht="15.75" customHeight="1">
      <c r="A23" s="7" t="s">
        <v>174</v>
      </c>
      <c r="B23" s="7" t="s">
        <v>58</v>
      </c>
      <c r="C23" s="7" t="s">
        <v>139</v>
      </c>
      <c r="D23" s="7" t="s">
        <v>175</v>
      </c>
      <c r="E23" s="7" t="s">
        <v>176</v>
      </c>
      <c r="F23" s="7" t="s">
        <v>177</v>
      </c>
      <c r="G23" s="7" t="s">
        <v>178</v>
      </c>
      <c r="H23" s="7" t="s">
        <v>71</v>
      </c>
      <c r="I23" s="8">
        <v>22.0</v>
      </c>
      <c r="J23" s="8">
        <v>42.0</v>
      </c>
      <c r="K23" s="8">
        <v>0.0</v>
      </c>
      <c r="L23" s="8">
        <v>3581244.0</v>
      </c>
      <c r="M23" s="8">
        <v>3581244.0</v>
      </c>
      <c r="N23" s="8">
        <v>3362129.0</v>
      </c>
      <c r="O23" s="8">
        <v>219115.0</v>
      </c>
      <c r="P23" s="8">
        <v>0.0</v>
      </c>
      <c r="Q23" s="8">
        <v>0.0</v>
      </c>
      <c r="R23" s="8">
        <v>0.0</v>
      </c>
      <c r="AH23" s="9">
        <v>3581244.0</v>
      </c>
      <c r="AI23" s="8">
        <v>409694.0</v>
      </c>
      <c r="AJ23" s="8">
        <v>0.0</v>
      </c>
      <c r="AK23" s="8">
        <v>250687.0</v>
      </c>
      <c r="AL23" s="8">
        <v>0.0</v>
      </c>
      <c r="AM23" s="8">
        <v>21487.0</v>
      </c>
      <c r="AN23" s="8">
        <v>107281.0</v>
      </c>
      <c r="AO23" s="8">
        <v>0.0</v>
      </c>
      <c r="AW23" s="9">
        <v>789149.0</v>
      </c>
      <c r="AX23" s="9">
        <v>2792095.0</v>
      </c>
      <c r="AY23" s="9">
        <f>VLOOKUP(A23,'Hoja 1'!A:AX,50,0)-AX23</f>
        <v>0</v>
      </c>
    </row>
    <row r="24" ht="15.75" customHeight="1">
      <c r="A24" s="7" t="s">
        <v>179</v>
      </c>
      <c r="B24" s="7" t="s">
        <v>58</v>
      </c>
      <c r="C24" s="7" t="s">
        <v>180</v>
      </c>
      <c r="D24" s="7" t="s">
        <v>74</v>
      </c>
      <c r="E24" s="7" t="s">
        <v>181</v>
      </c>
      <c r="F24" s="7" t="s">
        <v>182</v>
      </c>
      <c r="G24" s="7" t="s">
        <v>178</v>
      </c>
      <c r="H24" s="7" t="s">
        <v>71</v>
      </c>
      <c r="I24" s="8">
        <v>30.0</v>
      </c>
      <c r="J24" s="8">
        <v>42.0</v>
      </c>
      <c r="K24" s="8">
        <v>0.0</v>
      </c>
      <c r="L24" s="8">
        <v>3678639.0</v>
      </c>
      <c r="M24" s="8">
        <v>5273749.0</v>
      </c>
      <c r="N24" s="8">
        <v>4958453.0</v>
      </c>
      <c r="O24" s="8">
        <v>219115.0</v>
      </c>
      <c r="P24" s="8">
        <v>0.0</v>
      </c>
      <c r="Q24" s="8">
        <v>0.0</v>
      </c>
      <c r="R24" s="8">
        <v>0.0</v>
      </c>
      <c r="AD24" s="8">
        <v>96181.0</v>
      </c>
      <c r="AH24" s="9">
        <v>5273749.0</v>
      </c>
      <c r="AI24" s="8">
        <v>420836.0</v>
      </c>
      <c r="AJ24" s="8">
        <v>0.0</v>
      </c>
      <c r="AK24" s="8">
        <v>257505.0</v>
      </c>
      <c r="AL24" s="8">
        <v>74063.0</v>
      </c>
      <c r="AM24" s="8">
        <v>0.0</v>
      </c>
      <c r="AN24" s="8">
        <v>298676.0</v>
      </c>
      <c r="AO24" s="8">
        <v>0.0</v>
      </c>
      <c r="AW24" s="9">
        <v>1051080.0</v>
      </c>
      <c r="AX24" s="9">
        <v>4222669.0</v>
      </c>
      <c r="AY24" s="9">
        <f>VLOOKUP(A24,'Hoja 1'!A:AX,50,0)-AX24</f>
        <v>0</v>
      </c>
    </row>
    <row r="25" ht="15.75" customHeight="1">
      <c r="A25" s="7" t="s">
        <v>183</v>
      </c>
      <c r="B25" s="7" t="s">
        <v>58</v>
      </c>
      <c r="C25" s="7" t="s">
        <v>166</v>
      </c>
      <c r="D25" s="7" t="s">
        <v>184</v>
      </c>
      <c r="E25" s="7" t="s">
        <v>185</v>
      </c>
      <c r="F25" s="7" t="s">
        <v>186</v>
      </c>
      <c r="G25" s="7" t="s">
        <v>159</v>
      </c>
      <c r="H25" s="7" t="s">
        <v>71</v>
      </c>
      <c r="I25" s="8">
        <v>30.0</v>
      </c>
      <c r="J25" s="8">
        <v>40.0</v>
      </c>
      <c r="K25" s="8">
        <v>0.0</v>
      </c>
      <c r="L25" s="8">
        <v>3678639.0</v>
      </c>
      <c r="M25" s="8">
        <v>3696162.0</v>
      </c>
      <c r="N25" s="8">
        <v>3003714.0</v>
      </c>
      <c r="O25" s="8">
        <v>219115.0</v>
      </c>
      <c r="P25" s="8">
        <v>0.0</v>
      </c>
      <c r="Q25" s="8">
        <v>0.0</v>
      </c>
      <c r="R25" s="8">
        <v>0.0</v>
      </c>
      <c r="AB25" s="8">
        <v>100000.0</v>
      </c>
      <c r="AE25" s="8">
        <v>473333.0</v>
      </c>
      <c r="AF25" s="8">
        <v>100000.0</v>
      </c>
      <c r="AH25" s="9">
        <v>3896162.0</v>
      </c>
      <c r="AI25" s="8">
        <v>414583.0</v>
      </c>
      <c r="AJ25" s="8">
        <v>0.0</v>
      </c>
      <c r="AK25" s="8">
        <v>257505.0</v>
      </c>
      <c r="AL25" s="8">
        <v>0.0</v>
      </c>
      <c r="AM25" s="8">
        <v>22177.0</v>
      </c>
      <c r="AN25" s="8">
        <v>115482.0</v>
      </c>
      <c r="AO25" s="8">
        <v>0.0</v>
      </c>
      <c r="AQ25" s="8">
        <v>19800.0</v>
      </c>
      <c r="AW25" s="9">
        <v>829547.0</v>
      </c>
      <c r="AX25" s="9">
        <v>3066615.0</v>
      </c>
      <c r="AY25" s="9">
        <f>VLOOKUP(A25,'Hoja 1'!A:AX,50,0)-AX25</f>
        <v>0</v>
      </c>
    </row>
    <row r="26" ht="15.75" customHeight="1">
      <c r="A26" s="7" t="s">
        <v>187</v>
      </c>
      <c r="B26" s="7" t="s">
        <v>58</v>
      </c>
      <c r="C26" s="7" t="s">
        <v>166</v>
      </c>
      <c r="D26" s="7" t="s">
        <v>188</v>
      </c>
      <c r="E26" s="7" t="s">
        <v>189</v>
      </c>
      <c r="F26" s="7" t="s">
        <v>190</v>
      </c>
      <c r="G26" s="7" t="s">
        <v>173</v>
      </c>
      <c r="H26" s="7" t="s">
        <v>71</v>
      </c>
      <c r="I26" s="8">
        <v>30.0</v>
      </c>
      <c r="J26" s="8">
        <v>37.0</v>
      </c>
      <c r="K26" s="8">
        <v>0.0</v>
      </c>
      <c r="L26" s="8">
        <v>2399470.0</v>
      </c>
      <c r="M26" s="8">
        <v>2399470.0</v>
      </c>
      <c r="N26" s="8">
        <v>2180355.0</v>
      </c>
      <c r="O26" s="8">
        <v>219115.0</v>
      </c>
      <c r="P26" s="8">
        <v>0.0</v>
      </c>
      <c r="Q26" s="8">
        <v>0.0</v>
      </c>
      <c r="R26" s="8">
        <v>0.0</v>
      </c>
      <c r="AB26" s="8">
        <v>250000.0</v>
      </c>
      <c r="AF26" s="8">
        <v>250000.0</v>
      </c>
      <c r="AH26" s="9">
        <v>2899470.0</v>
      </c>
      <c r="AI26" s="8">
        <v>250985.0</v>
      </c>
      <c r="AJ26" s="8">
        <v>0.0</v>
      </c>
      <c r="AK26" s="8">
        <v>167963.0</v>
      </c>
      <c r="AL26" s="8">
        <v>0.0</v>
      </c>
      <c r="AM26" s="8">
        <v>14397.0</v>
      </c>
      <c r="AN26" s="8">
        <v>39955.0</v>
      </c>
      <c r="AO26" s="8">
        <v>0.0</v>
      </c>
      <c r="AW26" s="9">
        <v>473300.0</v>
      </c>
      <c r="AX26" s="9">
        <v>2426170.0</v>
      </c>
      <c r="AY26" s="9">
        <f>VLOOKUP(A26,'Hoja 1'!A:AX,50,0)-AX26</f>
        <v>0</v>
      </c>
    </row>
    <row r="27" ht="15.75" customHeight="1">
      <c r="A27" s="7" t="s">
        <v>191</v>
      </c>
      <c r="B27" s="7" t="s">
        <v>58</v>
      </c>
      <c r="C27" s="7" t="s">
        <v>192</v>
      </c>
      <c r="D27" s="7" t="s">
        <v>193</v>
      </c>
      <c r="E27" s="7" t="s">
        <v>194</v>
      </c>
      <c r="F27" s="7" t="s">
        <v>136</v>
      </c>
      <c r="G27" s="7" t="s">
        <v>125</v>
      </c>
      <c r="H27" s="7" t="s">
        <v>71</v>
      </c>
      <c r="I27" s="8">
        <v>30.0</v>
      </c>
      <c r="J27" s="8">
        <v>42.0</v>
      </c>
      <c r="K27" s="8">
        <v>0.0</v>
      </c>
      <c r="L27" s="8">
        <v>1356403.0</v>
      </c>
      <c r="M27" s="8">
        <v>1356403.0</v>
      </c>
      <c r="N27" s="8">
        <v>1137288.0</v>
      </c>
      <c r="O27" s="8">
        <v>219115.0</v>
      </c>
      <c r="P27" s="8">
        <v>0.0</v>
      </c>
      <c r="Q27" s="8">
        <v>0.0</v>
      </c>
      <c r="R27" s="8">
        <v>0.0</v>
      </c>
      <c r="AH27" s="9">
        <v>1356403.0</v>
      </c>
      <c r="AI27" s="8">
        <v>143507.0</v>
      </c>
      <c r="AJ27" s="8">
        <v>0.0</v>
      </c>
      <c r="AK27" s="8">
        <v>94948.0</v>
      </c>
      <c r="AL27" s="8">
        <v>0.0</v>
      </c>
      <c r="AM27" s="8">
        <v>8138.0</v>
      </c>
      <c r="AN27" s="8">
        <v>5702.0</v>
      </c>
      <c r="AO27" s="8">
        <v>0.0</v>
      </c>
      <c r="AW27" s="9">
        <v>252295.0</v>
      </c>
      <c r="AX27" s="9">
        <v>1104108.0</v>
      </c>
      <c r="AY27" s="9">
        <f>VLOOKUP(A27,'Hoja 1'!A:AX,50,0)-AX27</f>
        <v>0</v>
      </c>
    </row>
    <row r="28" ht="15.75" customHeight="1">
      <c r="A28" s="7" t="s">
        <v>195</v>
      </c>
      <c r="B28" s="7" t="s">
        <v>58</v>
      </c>
      <c r="C28" s="7" t="s">
        <v>196</v>
      </c>
      <c r="D28" s="7" t="s">
        <v>197</v>
      </c>
      <c r="E28" s="7" t="s">
        <v>198</v>
      </c>
      <c r="F28" s="7" t="s">
        <v>62</v>
      </c>
      <c r="G28" s="7" t="s">
        <v>63</v>
      </c>
      <c r="I28" s="8">
        <v>30.0</v>
      </c>
      <c r="J28" s="8">
        <v>40.0</v>
      </c>
      <c r="K28" s="8">
        <v>0.0</v>
      </c>
      <c r="L28" s="8">
        <v>2534485.0</v>
      </c>
      <c r="M28" s="8">
        <v>2534485.0</v>
      </c>
      <c r="N28" s="8">
        <v>1684259.0</v>
      </c>
      <c r="O28" s="8">
        <v>219115.0</v>
      </c>
      <c r="P28" s="8">
        <v>0.0</v>
      </c>
      <c r="Q28" s="8">
        <v>0.0</v>
      </c>
      <c r="R28" s="8">
        <v>0.0</v>
      </c>
      <c r="Y28" s="8">
        <v>30000.0</v>
      </c>
      <c r="AA28" s="8">
        <v>631111.0</v>
      </c>
      <c r="AB28" s="8">
        <v>170000.0</v>
      </c>
      <c r="AF28" s="8">
        <v>170000.0</v>
      </c>
      <c r="AH28" s="9">
        <v>2904485.0</v>
      </c>
      <c r="AI28" s="8">
        <v>268149.0</v>
      </c>
      <c r="AJ28" s="8">
        <v>0.0</v>
      </c>
      <c r="AK28" s="8">
        <v>177414.0</v>
      </c>
      <c r="AL28" s="8">
        <v>0.0</v>
      </c>
      <c r="AM28" s="8">
        <v>15207.0</v>
      </c>
      <c r="AN28" s="8">
        <v>44258.0</v>
      </c>
      <c r="AO28" s="8">
        <v>0.0</v>
      </c>
      <c r="AW28" s="9">
        <v>505028.0</v>
      </c>
      <c r="AX28" s="9">
        <v>2399457.0</v>
      </c>
      <c r="AY28" s="9">
        <f>VLOOKUP(A28,'Hoja 1'!A:AX,50,0)-AX28</f>
        <v>0</v>
      </c>
    </row>
    <row r="29" ht="15.75" customHeight="1">
      <c r="A29" s="7" t="s">
        <v>199</v>
      </c>
      <c r="B29" s="7" t="s">
        <v>58</v>
      </c>
      <c r="C29" s="7" t="s">
        <v>122</v>
      </c>
      <c r="D29" s="7" t="s">
        <v>200</v>
      </c>
      <c r="E29" s="7" t="s">
        <v>201</v>
      </c>
      <c r="F29" s="7" t="s">
        <v>202</v>
      </c>
      <c r="G29" s="7" t="s">
        <v>104</v>
      </c>
      <c r="H29" s="7" t="s">
        <v>106</v>
      </c>
      <c r="I29" s="8">
        <v>30.0</v>
      </c>
      <c r="J29" s="8">
        <v>44.0</v>
      </c>
      <c r="K29" s="8">
        <v>0.0</v>
      </c>
      <c r="L29" s="8">
        <v>3678639.0</v>
      </c>
      <c r="M29" s="8">
        <v>3953939.0</v>
      </c>
      <c r="N29" s="8">
        <v>3734824.0</v>
      </c>
      <c r="O29" s="8">
        <v>219115.0</v>
      </c>
      <c r="P29" s="8">
        <v>0.0</v>
      </c>
      <c r="Q29" s="8">
        <v>0.0</v>
      </c>
      <c r="R29" s="8">
        <v>0.0</v>
      </c>
      <c r="T29" s="8">
        <v>600000.0</v>
      </c>
      <c r="AB29" s="8">
        <v>200000.0</v>
      </c>
      <c r="AF29" s="8">
        <v>200000.0</v>
      </c>
      <c r="AH29" s="9">
        <v>4953939.0</v>
      </c>
      <c r="AI29" s="8">
        <v>420836.0</v>
      </c>
      <c r="AJ29" s="8">
        <v>0.0</v>
      </c>
      <c r="AK29" s="8">
        <v>257505.0</v>
      </c>
      <c r="AL29" s="8">
        <v>129079.0</v>
      </c>
      <c r="AM29" s="8">
        <v>23724.0</v>
      </c>
      <c r="AN29" s="8">
        <v>135481.0</v>
      </c>
      <c r="AO29" s="8">
        <v>0.0</v>
      </c>
      <c r="AQ29" s="8">
        <v>19800.0</v>
      </c>
      <c r="AW29" s="9">
        <v>986425.0</v>
      </c>
      <c r="AX29" s="9">
        <v>3967514.0</v>
      </c>
      <c r="AY29" s="9">
        <f>VLOOKUP(A29,'Hoja 1'!A:AX,50,0)-AX29</f>
        <v>0</v>
      </c>
    </row>
    <row r="30" ht="15.75" customHeight="1">
      <c r="A30" s="7" t="s">
        <v>203</v>
      </c>
      <c r="B30" s="7" t="s">
        <v>58</v>
      </c>
      <c r="C30" s="7" t="s">
        <v>204</v>
      </c>
      <c r="D30" s="7" t="s">
        <v>205</v>
      </c>
      <c r="E30" s="7" t="s">
        <v>206</v>
      </c>
      <c r="F30" s="7" t="s">
        <v>207</v>
      </c>
      <c r="G30" s="7" t="s">
        <v>159</v>
      </c>
      <c r="H30" s="7" t="s">
        <v>71</v>
      </c>
      <c r="I30" s="8">
        <v>30.0</v>
      </c>
      <c r="J30" s="8">
        <v>40.0</v>
      </c>
      <c r="K30" s="8">
        <v>0.0</v>
      </c>
      <c r="L30" s="8">
        <v>2176352.0</v>
      </c>
      <c r="M30" s="8">
        <v>2176352.0</v>
      </c>
      <c r="N30" s="8">
        <v>1483904.0</v>
      </c>
      <c r="O30" s="8">
        <v>219115.0</v>
      </c>
      <c r="P30" s="8">
        <v>0.0</v>
      </c>
      <c r="Q30" s="8">
        <v>0.0</v>
      </c>
      <c r="R30" s="8">
        <v>0.0</v>
      </c>
      <c r="AB30" s="8">
        <v>100000.0</v>
      </c>
      <c r="AE30" s="8">
        <v>473333.0</v>
      </c>
      <c r="AF30" s="8">
        <v>100000.0</v>
      </c>
      <c r="AH30" s="9">
        <v>2376352.0</v>
      </c>
      <c r="AI30" s="8">
        <v>227646.0</v>
      </c>
      <c r="AJ30" s="8">
        <v>0.0</v>
      </c>
      <c r="AK30" s="8">
        <v>152345.0</v>
      </c>
      <c r="AL30" s="8">
        <v>0.0</v>
      </c>
      <c r="AM30" s="8">
        <v>13058.0</v>
      </c>
      <c r="AN30" s="8">
        <v>32642.0</v>
      </c>
      <c r="AO30" s="8">
        <v>0.0</v>
      </c>
      <c r="AW30" s="9">
        <v>425691.0</v>
      </c>
      <c r="AX30" s="9">
        <v>1950661.0</v>
      </c>
      <c r="AY30" s="9">
        <f>VLOOKUP(A30,'Hoja 1'!A:AX,50,0)-AX30</f>
        <v>0</v>
      </c>
    </row>
    <row r="31" ht="15.75" customHeight="1">
      <c r="A31" s="7" t="s">
        <v>208</v>
      </c>
      <c r="B31" s="7" t="s">
        <v>58</v>
      </c>
      <c r="C31" s="7" t="s">
        <v>209</v>
      </c>
      <c r="D31" s="7" t="s">
        <v>210</v>
      </c>
      <c r="E31" s="7" t="s">
        <v>211</v>
      </c>
      <c r="F31" s="7" t="s">
        <v>212</v>
      </c>
      <c r="G31" s="7" t="s">
        <v>213</v>
      </c>
      <c r="H31" s="7" t="s">
        <v>71</v>
      </c>
      <c r="I31" s="8">
        <v>30.0</v>
      </c>
      <c r="J31" s="8">
        <v>42.0</v>
      </c>
      <c r="K31" s="8">
        <v>0.0</v>
      </c>
      <c r="L31" s="8">
        <v>1596165.0</v>
      </c>
      <c r="M31" s="8">
        <v>1596165.0</v>
      </c>
      <c r="N31" s="8">
        <v>1358500.0</v>
      </c>
      <c r="O31" s="8">
        <v>219115.0</v>
      </c>
      <c r="P31" s="8">
        <v>0.0</v>
      </c>
      <c r="Q31" s="8">
        <v>0.0</v>
      </c>
      <c r="R31" s="8">
        <v>0.0</v>
      </c>
      <c r="V31" s="8">
        <v>18550.0</v>
      </c>
      <c r="AH31" s="9">
        <v>1596165.0</v>
      </c>
      <c r="AI31" s="8">
        <v>182601.0</v>
      </c>
      <c r="AJ31" s="8">
        <v>0.0</v>
      </c>
      <c r="AK31" s="8">
        <v>111732.0</v>
      </c>
      <c r="AL31" s="8">
        <v>0.0</v>
      </c>
      <c r="AM31" s="8">
        <v>9577.0</v>
      </c>
      <c r="AN31" s="8">
        <v>13000.0</v>
      </c>
      <c r="AO31" s="8">
        <v>0.0</v>
      </c>
      <c r="AW31" s="9">
        <v>316910.0</v>
      </c>
      <c r="AX31" s="9">
        <v>1279255.0</v>
      </c>
      <c r="AY31" s="9">
        <f>VLOOKUP(A31,'Hoja 1'!A:AX,50,0)-AX31</f>
        <v>0</v>
      </c>
    </row>
    <row r="32" ht="15.75" customHeight="1">
      <c r="A32" s="7" t="s">
        <v>214</v>
      </c>
      <c r="B32" s="7" t="s">
        <v>58</v>
      </c>
      <c r="C32" s="7" t="s">
        <v>215</v>
      </c>
      <c r="D32" s="7" t="s">
        <v>216</v>
      </c>
      <c r="E32" s="7" t="s">
        <v>217</v>
      </c>
      <c r="F32" s="7" t="s">
        <v>186</v>
      </c>
      <c r="G32" s="7" t="s">
        <v>159</v>
      </c>
      <c r="H32" s="7" t="s">
        <v>71</v>
      </c>
      <c r="I32" s="8">
        <v>30.0</v>
      </c>
      <c r="J32" s="8">
        <v>42.0</v>
      </c>
      <c r="K32" s="8">
        <v>0.0</v>
      </c>
      <c r="L32" s="8">
        <v>3351652.0</v>
      </c>
      <c r="M32" s="8">
        <v>3351652.0</v>
      </c>
      <c r="N32" s="8">
        <v>2816982.0</v>
      </c>
      <c r="O32" s="8">
        <v>219115.0</v>
      </c>
      <c r="P32" s="8">
        <v>0.0</v>
      </c>
      <c r="Q32" s="8">
        <v>0.0</v>
      </c>
      <c r="R32" s="8">
        <v>0.0</v>
      </c>
      <c r="AB32" s="8">
        <v>100000.0</v>
      </c>
      <c r="AE32" s="8">
        <v>315555.0</v>
      </c>
      <c r="AF32" s="8">
        <v>100000.0</v>
      </c>
      <c r="AH32" s="9">
        <v>3551652.0</v>
      </c>
      <c r="AI32" s="8">
        <v>377731.0</v>
      </c>
      <c r="AJ32" s="8">
        <v>0.0</v>
      </c>
      <c r="AK32" s="8">
        <v>234616.0</v>
      </c>
      <c r="AL32" s="8">
        <v>16921.0</v>
      </c>
      <c r="AM32" s="8">
        <v>20110.0</v>
      </c>
      <c r="AN32" s="8">
        <v>91513.0</v>
      </c>
      <c r="AO32" s="8">
        <v>0.0</v>
      </c>
      <c r="AS32" s="8">
        <v>385837.0</v>
      </c>
      <c r="AW32" s="9">
        <v>1126728.0</v>
      </c>
      <c r="AX32" s="9">
        <v>2424924.0</v>
      </c>
      <c r="AY32" s="9">
        <f>VLOOKUP(A32,'Hoja 1'!A:AX,50,0)-AX32</f>
        <v>0</v>
      </c>
    </row>
    <row r="33" ht="15.75" customHeight="1">
      <c r="A33" s="7" t="s">
        <v>218</v>
      </c>
      <c r="B33" s="7" t="s">
        <v>58</v>
      </c>
      <c r="C33" s="7" t="s">
        <v>219</v>
      </c>
      <c r="D33" s="7" t="s">
        <v>220</v>
      </c>
      <c r="E33" s="7" t="s">
        <v>221</v>
      </c>
      <c r="F33" s="7" t="s">
        <v>222</v>
      </c>
      <c r="G33" s="7" t="s">
        <v>104</v>
      </c>
      <c r="H33" s="7" t="s">
        <v>106</v>
      </c>
      <c r="I33" s="8">
        <v>30.0</v>
      </c>
      <c r="J33" s="8">
        <v>44.0</v>
      </c>
      <c r="K33" s="8">
        <v>0.0</v>
      </c>
      <c r="L33" s="8">
        <v>2860189.0</v>
      </c>
      <c r="M33" s="8">
        <v>2860189.0</v>
      </c>
      <c r="N33" s="8">
        <v>2641074.0</v>
      </c>
      <c r="O33" s="8">
        <v>219115.0</v>
      </c>
      <c r="P33" s="8">
        <v>0.0</v>
      </c>
      <c r="Q33" s="8">
        <v>0.0</v>
      </c>
      <c r="R33" s="8">
        <v>0.0</v>
      </c>
      <c r="AB33" s="8">
        <v>150000.0</v>
      </c>
      <c r="AF33" s="8">
        <v>150000.0</v>
      </c>
      <c r="AH33" s="9">
        <v>3160189.0</v>
      </c>
      <c r="AI33" s="8">
        <v>302608.0</v>
      </c>
      <c r="AJ33" s="8">
        <v>0.0</v>
      </c>
      <c r="AK33" s="8">
        <v>200213.0</v>
      </c>
      <c r="AL33" s="8">
        <v>0.0</v>
      </c>
      <c r="AM33" s="8">
        <v>17161.0</v>
      </c>
      <c r="AN33" s="8">
        <v>62547.0</v>
      </c>
      <c r="AO33" s="8">
        <v>0.0</v>
      </c>
      <c r="AQ33" s="8">
        <v>19800.0</v>
      </c>
      <c r="AW33" s="9">
        <v>602329.0</v>
      </c>
      <c r="AX33" s="9">
        <v>2557860.0</v>
      </c>
      <c r="AY33" s="9">
        <f>VLOOKUP(A33,'Hoja 1'!A:AX,50,0)-AX33</f>
        <v>0</v>
      </c>
    </row>
    <row r="34" ht="15.75" customHeight="1">
      <c r="A34" s="7" t="s">
        <v>223</v>
      </c>
      <c r="B34" s="7" t="s">
        <v>58</v>
      </c>
      <c r="C34" s="7" t="s">
        <v>224</v>
      </c>
      <c r="D34" s="7" t="s">
        <v>225</v>
      </c>
      <c r="E34" s="7" t="s">
        <v>226</v>
      </c>
      <c r="F34" s="7" t="s">
        <v>227</v>
      </c>
      <c r="G34" s="7" t="s">
        <v>228</v>
      </c>
      <c r="I34" s="8">
        <v>30.0</v>
      </c>
      <c r="J34" s="8">
        <v>42.0</v>
      </c>
      <c r="K34" s="8">
        <v>0.0</v>
      </c>
      <c r="L34" s="8">
        <v>2748807.0</v>
      </c>
      <c r="M34" s="8">
        <v>2748807.0</v>
      </c>
      <c r="N34" s="8">
        <v>2056359.0</v>
      </c>
      <c r="O34" s="8">
        <v>219115.0</v>
      </c>
      <c r="P34" s="8">
        <v>0.0</v>
      </c>
      <c r="Q34" s="8">
        <v>0.0</v>
      </c>
      <c r="R34" s="8">
        <v>0.0</v>
      </c>
      <c r="Y34" s="8">
        <v>125000.0</v>
      </c>
      <c r="AA34" s="8">
        <v>473333.0</v>
      </c>
      <c r="AB34" s="8">
        <v>250000.0</v>
      </c>
      <c r="AF34" s="8">
        <v>250000.0</v>
      </c>
      <c r="AH34" s="9">
        <v>3373807.0</v>
      </c>
      <c r="AI34" s="8">
        <v>309791.0</v>
      </c>
      <c r="AJ34" s="8">
        <v>0.0</v>
      </c>
      <c r="AK34" s="8">
        <v>192416.0</v>
      </c>
      <c r="AL34" s="8">
        <v>1080.0</v>
      </c>
      <c r="AM34" s="8">
        <v>16493.0</v>
      </c>
      <c r="AN34" s="8">
        <v>53653.0</v>
      </c>
      <c r="AO34" s="8">
        <v>0.0</v>
      </c>
      <c r="AS34" s="8">
        <v>186081.0</v>
      </c>
      <c r="AW34" s="9">
        <v>759514.0</v>
      </c>
      <c r="AX34" s="9">
        <v>2614293.0</v>
      </c>
      <c r="AY34" s="9">
        <f>VLOOKUP(A34,'Hoja 1'!A:AX,50,0)-AX34</f>
        <v>0</v>
      </c>
    </row>
    <row r="35" ht="15.75" customHeight="1">
      <c r="A35" s="7" t="s">
        <v>229</v>
      </c>
      <c r="B35" s="7" t="s">
        <v>58</v>
      </c>
      <c r="C35" s="7" t="s">
        <v>230</v>
      </c>
      <c r="D35" s="7" t="s">
        <v>231</v>
      </c>
      <c r="E35" s="7" t="s">
        <v>232</v>
      </c>
      <c r="F35" s="7" t="s">
        <v>233</v>
      </c>
      <c r="G35" s="7" t="s">
        <v>159</v>
      </c>
      <c r="H35" s="7" t="s">
        <v>71</v>
      </c>
      <c r="I35" s="8">
        <v>30.0</v>
      </c>
      <c r="J35" s="8">
        <v>42.0</v>
      </c>
      <c r="K35" s="8">
        <v>0.0</v>
      </c>
      <c r="L35" s="8">
        <v>3678639.0</v>
      </c>
      <c r="M35" s="8">
        <v>4263081.0</v>
      </c>
      <c r="N35" s="8">
        <v>3570633.0</v>
      </c>
      <c r="O35" s="8">
        <v>219115.0</v>
      </c>
      <c r="P35" s="8">
        <v>0.0</v>
      </c>
      <c r="Q35" s="8">
        <v>0.0</v>
      </c>
      <c r="R35" s="8">
        <v>0.0</v>
      </c>
      <c r="AB35" s="8">
        <v>100000.0</v>
      </c>
      <c r="AE35" s="8">
        <v>473333.0</v>
      </c>
      <c r="AF35" s="8">
        <v>100000.0</v>
      </c>
      <c r="AH35" s="9">
        <v>4463081.0</v>
      </c>
      <c r="AI35" s="8">
        <v>414583.0</v>
      </c>
      <c r="AJ35" s="8">
        <v>0.0</v>
      </c>
      <c r="AK35" s="8">
        <v>257505.0</v>
      </c>
      <c r="AL35" s="8">
        <v>1471.0</v>
      </c>
      <c r="AM35" s="8">
        <v>25578.0</v>
      </c>
      <c r="AN35" s="8">
        <v>160564.0</v>
      </c>
      <c r="AO35" s="8">
        <v>0.0</v>
      </c>
      <c r="AS35" s="8">
        <v>29854.0</v>
      </c>
      <c r="AW35" s="9">
        <v>889555.0</v>
      </c>
      <c r="AX35" s="9">
        <v>3573526.0</v>
      </c>
      <c r="AY35" s="9">
        <f>VLOOKUP(A35,'Hoja 1'!A:AX,50,0)-AX35</f>
        <v>0</v>
      </c>
    </row>
    <row r="36" ht="15.75" customHeight="1">
      <c r="A36" s="7" t="s">
        <v>234</v>
      </c>
      <c r="B36" s="7" t="s">
        <v>58</v>
      </c>
      <c r="C36" s="7" t="s">
        <v>235</v>
      </c>
      <c r="D36" s="7" t="s">
        <v>236</v>
      </c>
      <c r="E36" s="7" t="s">
        <v>237</v>
      </c>
      <c r="F36" s="7" t="s">
        <v>238</v>
      </c>
      <c r="G36" s="7" t="s">
        <v>131</v>
      </c>
      <c r="H36" s="7" t="s">
        <v>71</v>
      </c>
      <c r="I36" s="8">
        <v>30.0</v>
      </c>
      <c r="J36" s="8">
        <v>40.0</v>
      </c>
      <c r="K36" s="8">
        <v>0.0</v>
      </c>
      <c r="L36" s="8">
        <v>3678639.0</v>
      </c>
      <c r="M36" s="8">
        <v>4328779.0</v>
      </c>
      <c r="N36" s="8">
        <v>4109664.0</v>
      </c>
      <c r="O36" s="8">
        <v>219115.0</v>
      </c>
      <c r="P36" s="8">
        <v>0.0</v>
      </c>
      <c r="Q36" s="8">
        <v>0.0</v>
      </c>
      <c r="R36" s="8">
        <v>0.0</v>
      </c>
      <c r="AH36" s="9">
        <v>4328779.0</v>
      </c>
      <c r="AI36" s="8">
        <v>414583.0</v>
      </c>
      <c r="AJ36" s="8">
        <v>0.0</v>
      </c>
      <c r="AK36" s="8">
        <v>257505.0</v>
      </c>
      <c r="AL36" s="8">
        <v>306471.0</v>
      </c>
      <c r="AM36" s="8">
        <v>25973.0</v>
      </c>
      <c r="AN36" s="8">
        <v>168443.0</v>
      </c>
      <c r="AO36" s="8">
        <v>0.0</v>
      </c>
      <c r="AW36" s="9">
        <v>1172975.0</v>
      </c>
      <c r="AX36" s="9">
        <v>3155804.0</v>
      </c>
      <c r="AY36" s="9">
        <f>VLOOKUP(A36,'Hoja 1'!A:AX,50,0)-AX36</f>
        <v>0</v>
      </c>
    </row>
    <row r="37" ht="15.75" customHeight="1">
      <c r="A37" s="7" t="s">
        <v>239</v>
      </c>
      <c r="B37" s="7" t="s">
        <v>58</v>
      </c>
      <c r="C37" s="7" t="s">
        <v>240</v>
      </c>
      <c r="D37" s="7" t="s">
        <v>241</v>
      </c>
      <c r="E37" s="7" t="s">
        <v>242</v>
      </c>
      <c r="F37" s="7" t="s">
        <v>243</v>
      </c>
      <c r="G37" s="7" t="s">
        <v>82</v>
      </c>
      <c r="H37" s="7" t="s">
        <v>71</v>
      </c>
      <c r="I37" s="8">
        <v>21.0</v>
      </c>
      <c r="J37" s="8">
        <v>40.0</v>
      </c>
      <c r="K37" s="8">
        <v>0.0</v>
      </c>
      <c r="L37" s="8">
        <v>1615615.0</v>
      </c>
      <c r="M37" s="8">
        <v>1615615.0</v>
      </c>
      <c r="N37" s="8">
        <v>1396500.0</v>
      </c>
      <c r="O37" s="8">
        <v>219115.0</v>
      </c>
      <c r="P37" s="8">
        <v>0.0</v>
      </c>
      <c r="Q37" s="8">
        <v>0.0</v>
      </c>
      <c r="R37" s="8">
        <v>0.0</v>
      </c>
      <c r="S37" s="8">
        <v>7000.0</v>
      </c>
      <c r="U37" s="8">
        <v>14000.0</v>
      </c>
      <c r="AH37" s="9">
        <v>1636615.0</v>
      </c>
      <c r="AI37" s="8">
        <v>170932.0</v>
      </c>
      <c r="AJ37" s="8">
        <v>0.0</v>
      </c>
      <c r="AK37" s="8">
        <v>113093.0</v>
      </c>
      <c r="AL37" s="8">
        <v>21839.0</v>
      </c>
      <c r="AM37" s="8">
        <v>9694.0</v>
      </c>
      <c r="AN37" s="8">
        <v>13312.0</v>
      </c>
      <c r="AO37" s="8">
        <v>0.0</v>
      </c>
      <c r="AW37" s="9">
        <v>328870.0</v>
      </c>
      <c r="AX37" s="9">
        <v>1307745.0</v>
      </c>
      <c r="AY37" s="9">
        <f>VLOOKUP(A37,'Hoja 1'!A:AX,50,0)-AX37</f>
        <v>0</v>
      </c>
    </row>
    <row r="38" ht="15.75" customHeight="1">
      <c r="A38" s="7" t="s">
        <v>244</v>
      </c>
      <c r="B38" s="7" t="s">
        <v>58</v>
      </c>
      <c r="C38" s="7" t="s">
        <v>245</v>
      </c>
      <c r="D38" s="7" t="s">
        <v>246</v>
      </c>
      <c r="E38" s="7" t="s">
        <v>247</v>
      </c>
      <c r="F38" s="7" t="s">
        <v>248</v>
      </c>
      <c r="G38" s="7" t="s">
        <v>104</v>
      </c>
      <c r="H38" s="7" t="s">
        <v>106</v>
      </c>
      <c r="I38" s="8">
        <v>30.0</v>
      </c>
      <c r="J38" s="8">
        <v>44.0</v>
      </c>
      <c r="K38" s="8">
        <v>0.0</v>
      </c>
      <c r="L38" s="8">
        <v>2586937.0</v>
      </c>
      <c r="M38" s="8">
        <v>2586937.0</v>
      </c>
      <c r="N38" s="8">
        <v>2367822.0</v>
      </c>
      <c r="O38" s="8">
        <v>219115.0</v>
      </c>
      <c r="P38" s="8">
        <v>0.0</v>
      </c>
      <c r="Q38" s="8">
        <v>0.0</v>
      </c>
      <c r="R38" s="8">
        <v>0.0</v>
      </c>
      <c r="AH38" s="9">
        <v>2586937.0</v>
      </c>
      <c r="AI38" s="8">
        <v>288702.0</v>
      </c>
      <c r="AJ38" s="8">
        <v>0.0</v>
      </c>
      <c r="AK38" s="8">
        <v>181086.0</v>
      </c>
      <c r="AL38" s="8">
        <v>408028.0</v>
      </c>
      <c r="AM38" s="8">
        <v>15522.0</v>
      </c>
      <c r="AN38" s="8">
        <v>42318.0</v>
      </c>
      <c r="AO38" s="8">
        <v>0.0</v>
      </c>
      <c r="AW38" s="9">
        <v>935656.0</v>
      </c>
      <c r="AX38" s="9">
        <v>1651281.0</v>
      </c>
      <c r="AY38" s="9">
        <f>VLOOKUP(A38,'Hoja 1'!A:AX,50,0)-AX38</f>
        <v>0</v>
      </c>
    </row>
    <row r="39" ht="15.75" customHeight="1">
      <c r="A39" s="7" t="s">
        <v>249</v>
      </c>
      <c r="B39" s="7" t="s">
        <v>58</v>
      </c>
      <c r="C39" s="7" t="s">
        <v>200</v>
      </c>
      <c r="D39" s="7" t="s">
        <v>122</v>
      </c>
      <c r="E39" s="7" t="s">
        <v>250</v>
      </c>
      <c r="F39" s="7" t="s">
        <v>111</v>
      </c>
      <c r="G39" s="7" t="s">
        <v>125</v>
      </c>
      <c r="H39" s="7" t="s">
        <v>71</v>
      </c>
      <c r="I39" s="8">
        <v>3.0</v>
      </c>
      <c r="J39" s="8">
        <v>40.0</v>
      </c>
      <c r="K39" s="8">
        <v>0.0</v>
      </c>
      <c r="L39" s="8">
        <v>183941.0</v>
      </c>
      <c r="M39" s="8">
        <v>183941.0</v>
      </c>
      <c r="N39" s="8">
        <v>147153.0</v>
      </c>
      <c r="O39" s="8">
        <v>36788.0</v>
      </c>
      <c r="P39" s="8">
        <v>0.0</v>
      </c>
      <c r="Q39" s="8">
        <v>0.0</v>
      </c>
      <c r="R39" s="8">
        <v>0.0</v>
      </c>
      <c r="AH39" s="9">
        <v>183941.0</v>
      </c>
      <c r="AI39" s="8">
        <v>21043.0</v>
      </c>
      <c r="AJ39" s="8">
        <v>0.0</v>
      </c>
      <c r="AK39" s="8">
        <v>12876.0</v>
      </c>
      <c r="AL39" s="8">
        <v>0.0</v>
      </c>
      <c r="AM39" s="8">
        <v>1104.0</v>
      </c>
      <c r="AN39" s="8">
        <v>0.0</v>
      </c>
      <c r="AO39" s="8">
        <v>0.0</v>
      </c>
      <c r="AQ39" s="8">
        <v>29700.0</v>
      </c>
      <c r="AW39" s="9">
        <v>64723.0</v>
      </c>
      <c r="AX39" s="9">
        <v>119218.0</v>
      </c>
      <c r="AY39" s="9">
        <f>VLOOKUP(A39,'Hoja 1'!A:AX,50,0)-AX39</f>
        <v>0</v>
      </c>
    </row>
    <row r="40" ht="15.75" customHeight="1">
      <c r="A40" s="7" t="s">
        <v>251</v>
      </c>
      <c r="B40" s="7" t="s">
        <v>58</v>
      </c>
      <c r="C40" s="7" t="s">
        <v>200</v>
      </c>
      <c r="D40" s="7" t="s">
        <v>252</v>
      </c>
      <c r="E40" s="7" t="s">
        <v>253</v>
      </c>
      <c r="F40" s="7" t="s">
        <v>254</v>
      </c>
      <c r="G40" s="7" t="s">
        <v>125</v>
      </c>
      <c r="H40" s="7" t="s">
        <v>71</v>
      </c>
      <c r="I40" s="8">
        <v>30.0</v>
      </c>
      <c r="J40" s="8">
        <v>42.0</v>
      </c>
      <c r="K40" s="8">
        <v>0.0</v>
      </c>
      <c r="L40" s="8">
        <v>1700761.0</v>
      </c>
      <c r="M40" s="8">
        <v>1700761.0</v>
      </c>
      <c r="N40" s="8">
        <v>1481646.0</v>
      </c>
      <c r="O40" s="8">
        <v>219115.0</v>
      </c>
      <c r="P40" s="8">
        <v>0.0</v>
      </c>
      <c r="Q40" s="8">
        <v>0.0</v>
      </c>
      <c r="R40" s="8">
        <v>0.0</v>
      </c>
      <c r="AH40" s="9">
        <v>1700761.0</v>
      </c>
      <c r="AI40" s="8">
        <v>179941.0</v>
      </c>
      <c r="AJ40" s="8">
        <v>0.0</v>
      </c>
      <c r="AK40" s="8">
        <v>119053.0</v>
      </c>
      <c r="AL40" s="8">
        <v>0.0</v>
      </c>
      <c r="AM40" s="8">
        <v>10205.0</v>
      </c>
      <c r="AN40" s="8">
        <v>16972.0</v>
      </c>
      <c r="AO40" s="8">
        <v>0.0</v>
      </c>
      <c r="AW40" s="9">
        <v>326171.0</v>
      </c>
      <c r="AX40" s="9">
        <v>1374590.0</v>
      </c>
      <c r="AY40" s="9">
        <f>VLOOKUP(A40,'Hoja 1'!A:AX,50,0)-AX40</f>
        <v>0</v>
      </c>
    </row>
    <row r="41" ht="15.75" customHeight="1">
      <c r="A41" s="7" t="s">
        <v>255</v>
      </c>
      <c r="B41" s="7" t="s">
        <v>58</v>
      </c>
      <c r="C41" s="7" t="s">
        <v>200</v>
      </c>
      <c r="D41" s="7" t="s">
        <v>200</v>
      </c>
      <c r="E41" s="7" t="s">
        <v>256</v>
      </c>
      <c r="F41" s="7" t="s">
        <v>257</v>
      </c>
      <c r="G41" s="7" t="s">
        <v>104</v>
      </c>
      <c r="H41" s="7" t="s">
        <v>106</v>
      </c>
      <c r="I41" s="8">
        <v>30.0</v>
      </c>
      <c r="J41" s="8">
        <v>42.0</v>
      </c>
      <c r="K41" s="8">
        <v>0.0</v>
      </c>
      <c r="L41" s="8">
        <v>1235115.0</v>
      </c>
      <c r="M41" s="8">
        <v>1235115.0</v>
      </c>
      <c r="N41" s="8">
        <v>1016000.0</v>
      </c>
      <c r="O41" s="8">
        <v>219115.0</v>
      </c>
      <c r="P41" s="8">
        <v>0.0</v>
      </c>
      <c r="Q41" s="8">
        <v>0.0</v>
      </c>
      <c r="R41" s="8">
        <v>0.0</v>
      </c>
      <c r="Y41" s="8">
        <v>15000.0</v>
      </c>
      <c r="AB41" s="8">
        <v>50000.0</v>
      </c>
      <c r="AF41" s="8">
        <v>50000.0</v>
      </c>
      <c r="AH41" s="9">
        <v>1350115.0</v>
      </c>
      <c r="AI41" s="8">
        <v>129193.0</v>
      </c>
      <c r="AJ41" s="8">
        <v>0.0</v>
      </c>
      <c r="AK41" s="8">
        <v>86458.0</v>
      </c>
      <c r="AL41" s="8">
        <v>0.0</v>
      </c>
      <c r="AM41" s="8">
        <v>7411.0</v>
      </c>
      <c r="AN41" s="8">
        <v>1792.0</v>
      </c>
      <c r="AO41" s="8">
        <v>0.0</v>
      </c>
      <c r="AS41" s="8">
        <v>74207.0</v>
      </c>
      <c r="AU41" s="8">
        <v>50000.0</v>
      </c>
      <c r="AW41" s="9">
        <v>349061.0</v>
      </c>
      <c r="AX41" s="9">
        <v>1001054.0</v>
      </c>
      <c r="AY41" s="9">
        <f>VLOOKUP(A41,'Hoja 1'!A:AX,50,0)-AX41</f>
        <v>0</v>
      </c>
    </row>
    <row r="42" ht="15.75" customHeight="1">
      <c r="A42" s="7" t="s">
        <v>258</v>
      </c>
      <c r="B42" s="7" t="s">
        <v>58</v>
      </c>
      <c r="C42" s="7" t="s">
        <v>200</v>
      </c>
      <c r="D42" s="7" t="s">
        <v>259</v>
      </c>
      <c r="E42" s="7" t="s">
        <v>260</v>
      </c>
      <c r="F42" s="7" t="s">
        <v>261</v>
      </c>
      <c r="G42" s="7" t="s">
        <v>228</v>
      </c>
      <c r="I42" s="8">
        <v>30.0</v>
      </c>
      <c r="J42" s="8">
        <v>42.0</v>
      </c>
      <c r="K42" s="8">
        <v>0.0</v>
      </c>
      <c r="L42" s="8">
        <v>3678639.0</v>
      </c>
      <c r="M42" s="8">
        <v>3768212.0</v>
      </c>
      <c r="N42" s="8">
        <v>3075764.0</v>
      </c>
      <c r="O42" s="8">
        <v>219115.0</v>
      </c>
      <c r="P42" s="8">
        <v>0.0</v>
      </c>
      <c r="Q42" s="8">
        <v>0.0</v>
      </c>
      <c r="R42" s="8">
        <v>0.0</v>
      </c>
      <c r="Y42" s="8">
        <v>100000.0</v>
      </c>
      <c r="AA42" s="8">
        <v>473333.0</v>
      </c>
      <c r="AB42" s="8">
        <v>387500.0</v>
      </c>
      <c r="AF42" s="8">
        <v>387500.0</v>
      </c>
      <c r="AH42" s="9">
        <v>4643212.0</v>
      </c>
      <c r="AI42" s="8">
        <v>389200.0</v>
      </c>
      <c r="AJ42" s="8">
        <v>0.0</v>
      </c>
      <c r="AK42" s="8">
        <v>257505.0</v>
      </c>
      <c r="AL42" s="8">
        <v>0.0</v>
      </c>
      <c r="AM42" s="8">
        <v>22609.0</v>
      </c>
      <c r="AN42" s="8">
        <v>123243.0</v>
      </c>
      <c r="AO42" s="8">
        <v>0.0</v>
      </c>
      <c r="AW42" s="9">
        <v>792557.0</v>
      </c>
      <c r="AX42" s="9">
        <v>3850655.0</v>
      </c>
      <c r="AY42" s="9">
        <f>VLOOKUP(A42,'Hoja 1'!A:AX,50,0)-AX42</f>
        <v>0</v>
      </c>
    </row>
    <row r="43" ht="15.75" customHeight="1">
      <c r="A43" s="7" t="s">
        <v>262</v>
      </c>
      <c r="B43" s="7" t="s">
        <v>58</v>
      </c>
      <c r="C43" s="7" t="s">
        <v>200</v>
      </c>
      <c r="D43" s="7" t="s">
        <v>263</v>
      </c>
      <c r="E43" s="7" t="s">
        <v>264</v>
      </c>
      <c r="F43" s="7" t="s">
        <v>265</v>
      </c>
      <c r="G43" s="7" t="s">
        <v>104</v>
      </c>
      <c r="H43" s="7" t="s">
        <v>106</v>
      </c>
      <c r="I43" s="8">
        <v>30.0</v>
      </c>
      <c r="J43" s="8">
        <v>41.0</v>
      </c>
      <c r="K43" s="8">
        <v>0.0</v>
      </c>
      <c r="L43" s="8">
        <v>714199.0</v>
      </c>
      <c r="M43" s="8">
        <v>714199.0</v>
      </c>
      <c r="N43" s="8">
        <v>571359.0</v>
      </c>
      <c r="O43" s="8">
        <v>142840.0</v>
      </c>
      <c r="P43" s="8">
        <v>0.0</v>
      </c>
      <c r="Q43" s="8">
        <v>0.0</v>
      </c>
      <c r="R43" s="8">
        <v>0.0</v>
      </c>
      <c r="Y43" s="8">
        <v>15000.0</v>
      </c>
      <c r="AB43" s="8">
        <v>50000.0</v>
      </c>
      <c r="AF43" s="8">
        <v>50000.0</v>
      </c>
      <c r="AH43" s="9">
        <v>829199.0</v>
      </c>
      <c r="AI43" s="8">
        <v>74705.0</v>
      </c>
      <c r="AJ43" s="8">
        <v>0.0</v>
      </c>
      <c r="AK43" s="8">
        <v>49994.0</v>
      </c>
      <c r="AL43" s="8">
        <v>0.0</v>
      </c>
      <c r="AM43" s="8">
        <v>4285.0</v>
      </c>
      <c r="AN43" s="8">
        <v>0.0</v>
      </c>
      <c r="AO43" s="8">
        <v>0.0</v>
      </c>
      <c r="AW43" s="9">
        <v>128984.0</v>
      </c>
      <c r="AX43" s="9">
        <v>700215.0</v>
      </c>
      <c r="AY43" s="9">
        <f>VLOOKUP(A43,'Hoja 1'!A:AX,50,0)-AX43</f>
        <v>0</v>
      </c>
    </row>
    <row r="44" ht="15.75" customHeight="1">
      <c r="A44" s="7" t="s">
        <v>266</v>
      </c>
      <c r="B44" s="7" t="s">
        <v>58</v>
      </c>
      <c r="C44" s="7" t="s">
        <v>200</v>
      </c>
      <c r="D44" s="7" t="s">
        <v>267</v>
      </c>
      <c r="E44" s="7" t="s">
        <v>268</v>
      </c>
      <c r="F44" s="7" t="s">
        <v>269</v>
      </c>
      <c r="G44" s="7" t="s">
        <v>63</v>
      </c>
      <c r="I44" s="8">
        <v>30.0</v>
      </c>
      <c r="J44" s="8">
        <v>40.0</v>
      </c>
      <c r="K44" s="8">
        <v>0.0</v>
      </c>
      <c r="L44" s="8">
        <v>3047082.0</v>
      </c>
      <c r="M44" s="8">
        <v>3047082.0</v>
      </c>
      <c r="N44" s="8">
        <v>2354634.0</v>
      </c>
      <c r="O44" s="8">
        <v>219115.0</v>
      </c>
      <c r="P44" s="8">
        <v>0.0</v>
      </c>
      <c r="Q44" s="8">
        <v>0.0</v>
      </c>
      <c r="R44" s="8">
        <v>0.0</v>
      </c>
      <c r="Y44" s="8">
        <v>35000.0</v>
      </c>
      <c r="AA44" s="8">
        <v>473333.0</v>
      </c>
      <c r="AB44" s="8">
        <v>250000.0</v>
      </c>
      <c r="AF44" s="8">
        <v>215000.0</v>
      </c>
      <c r="AH44" s="9">
        <v>3547082.0</v>
      </c>
      <c r="AI44" s="8">
        <v>343406.0</v>
      </c>
      <c r="AJ44" s="8">
        <v>0.0</v>
      </c>
      <c r="AK44" s="8">
        <v>213296.0</v>
      </c>
      <c r="AL44" s="8">
        <v>0.0</v>
      </c>
      <c r="AM44" s="8">
        <v>18282.0</v>
      </c>
      <c r="AN44" s="8">
        <v>73099.0</v>
      </c>
      <c r="AO44" s="8">
        <v>0.0</v>
      </c>
      <c r="AW44" s="9">
        <v>648083.0</v>
      </c>
      <c r="AX44" s="9">
        <v>2898999.0</v>
      </c>
      <c r="AY44" s="9">
        <f>VLOOKUP(A44,'Hoja 1'!A:AX,50,0)-AX44</f>
        <v>0</v>
      </c>
    </row>
    <row r="45" ht="15.75" customHeight="1">
      <c r="A45" s="7" t="s">
        <v>270</v>
      </c>
      <c r="B45" s="7" t="s">
        <v>58</v>
      </c>
      <c r="C45" s="7" t="s">
        <v>271</v>
      </c>
      <c r="D45" s="7" t="s">
        <v>272</v>
      </c>
      <c r="E45" s="7" t="s">
        <v>273</v>
      </c>
      <c r="F45" s="7" t="s">
        <v>274</v>
      </c>
      <c r="G45" s="7" t="s">
        <v>63</v>
      </c>
      <c r="I45" s="8">
        <v>30.0</v>
      </c>
      <c r="J45" s="8">
        <v>40.0</v>
      </c>
      <c r="K45" s="8">
        <v>0.0</v>
      </c>
      <c r="L45" s="8">
        <v>3654524.0</v>
      </c>
      <c r="M45" s="8">
        <v>3654524.0</v>
      </c>
      <c r="N45" s="8">
        <v>2804298.0</v>
      </c>
      <c r="O45" s="8">
        <v>219115.0</v>
      </c>
      <c r="P45" s="8">
        <v>0.0</v>
      </c>
      <c r="Q45" s="8">
        <v>0.0</v>
      </c>
      <c r="R45" s="8">
        <v>0.0</v>
      </c>
      <c r="Y45" s="8">
        <v>35000.0</v>
      </c>
      <c r="AA45" s="8">
        <v>631111.0</v>
      </c>
      <c r="AB45" s="8">
        <v>290000.0</v>
      </c>
      <c r="AF45" s="8">
        <v>255000.0</v>
      </c>
      <c r="AH45" s="9">
        <v>4234524.0</v>
      </c>
      <c r="AI45" s="8">
        <v>411865.0</v>
      </c>
      <c r="AJ45" s="8">
        <v>0.0</v>
      </c>
      <c r="AK45" s="8">
        <v>255817.0</v>
      </c>
      <c r="AL45" s="8">
        <v>0.0</v>
      </c>
      <c r="AM45" s="8">
        <v>21927.0</v>
      </c>
      <c r="AN45" s="8">
        <v>112524.0</v>
      </c>
      <c r="AO45" s="8">
        <v>0.0</v>
      </c>
      <c r="AW45" s="9">
        <v>802133.0</v>
      </c>
      <c r="AX45" s="9">
        <v>3432391.0</v>
      </c>
      <c r="AY45" s="9">
        <f>VLOOKUP(A45,'Hoja 1'!A:AX,50,0)-AX45</f>
        <v>0</v>
      </c>
    </row>
    <row r="46" ht="15.75" customHeight="1">
      <c r="A46" s="7" t="s">
        <v>275</v>
      </c>
      <c r="B46" s="7" t="s">
        <v>58</v>
      </c>
      <c r="C46" s="7" t="s">
        <v>276</v>
      </c>
      <c r="D46" s="7" t="s">
        <v>277</v>
      </c>
      <c r="E46" s="7" t="s">
        <v>278</v>
      </c>
      <c r="F46" s="7" t="s">
        <v>279</v>
      </c>
      <c r="G46" s="7" t="s">
        <v>173</v>
      </c>
      <c r="H46" s="7" t="s">
        <v>71</v>
      </c>
      <c r="I46" s="8">
        <v>30.0</v>
      </c>
      <c r="J46" s="8">
        <v>37.0</v>
      </c>
      <c r="K46" s="8">
        <v>0.0</v>
      </c>
      <c r="L46" s="8">
        <v>2501208.0</v>
      </c>
      <c r="M46" s="8">
        <v>2501208.0</v>
      </c>
      <c r="N46" s="8">
        <v>2282093.0</v>
      </c>
      <c r="O46" s="8">
        <v>219115.0</v>
      </c>
      <c r="P46" s="8">
        <v>0.0</v>
      </c>
      <c r="Q46" s="8">
        <v>0.0</v>
      </c>
      <c r="R46" s="8">
        <v>0.0</v>
      </c>
      <c r="AB46" s="8">
        <v>250000.0</v>
      </c>
      <c r="AF46" s="8">
        <v>250000.0</v>
      </c>
      <c r="AH46" s="9">
        <v>3001208.0</v>
      </c>
      <c r="AI46" s="8">
        <v>281886.0</v>
      </c>
      <c r="AJ46" s="8">
        <v>0.0</v>
      </c>
      <c r="AK46" s="8">
        <v>175085.0</v>
      </c>
      <c r="AL46" s="8">
        <v>0.0</v>
      </c>
      <c r="AM46" s="8">
        <v>15007.0</v>
      </c>
      <c r="AN46" s="8">
        <v>42479.0</v>
      </c>
      <c r="AO46" s="8">
        <v>0.0</v>
      </c>
      <c r="AW46" s="9">
        <v>514457.0</v>
      </c>
      <c r="AX46" s="9">
        <v>2486751.0</v>
      </c>
      <c r="AY46" s="9">
        <f>VLOOKUP(A46,'Hoja 1'!A:AX,50,0)-AX46</f>
        <v>0</v>
      </c>
    </row>
    <row r="47" ht="15.75" customHeight="1">
      <c r="A47" s="7" t="s">
        <v>280</v>
      </c>
      <c r="B47" s="7" t="s">
        <v>58</v>
      </c>
      <c r="C47" s="7" t="s">
        <v>281</v>
      </c>
      <c r="D47" s="7" t="s">
        <v>282</v>
      </c>
      <c r="E47" s="7" t="s">
        <v>283</v>
      </c>
      <c r="F47" s="7" t="s">
        <v>284</v>
      </c>
      <c r="G47" s="7" t="s">
        <v>213</v>
      </c>
      <c r="H47" s="7" t="s">
        <v>71</v>
      </c>
      <c r="I47" s="8">
        <v>12.0</v>
      </c>
      <c r="J47" s="8">
        <v>40.0</v>
      </c>
      <c r="K47" s="8">
        <v>0.0</v>
      </c>
      <c r="L47" s="8">
        <v>724670.0</v>
      </c>
      <c r="M47" s="8">
        <v>724670.0</v>
      </c>
      <c r="N47" s="8">
        <v>579736.0</v>
      </c>
      <c r="O47" s="8">
        <v>144934.0</v>
      </c>
      <c r="P47" s="8">
        <v>0.0</v>
      </c>
      <c r="Q47" s="8">
        <v>0.0</v>
      </c>
      <c r="R47" s="8">
        <v>0.0</v>
      </c>
      <c r="AH47" s="9">
        <v>724670.0</v>
      </c>
      <c r="AI47" s="8">
        <v>82975.0</v>
      </c>
      <c r="AJ47" s="8">
        <v>0.0</v>
      </c>
      <c r="AK47" s="8">
        <v>50727.0</v>
      </c>
      <c r="AL47" s="8">
        <v>0.0</v>
      </c>
      <c r="AM47" s="8">
        <v>0.0</v>
      </c>
      <c r="AN47" s="8">
        <v>0.0</v>
      </c>
      <c r="AO47" s="8">
        <v>0.0</v>
      </c>
      <c r="AW47" s="9">
        <v>133702.0</v>
      </c>
      <c r="AX47" s="9">
        <v>590968.0</v>
      </c>
      <c r="AY47" s="9">
        <f>VLOOKUP(A47,'Hoja 1'!A:AX,50,0)-AX47</f>
        <v>0</v>
      </c>
    </row>
    <row r="48" ht="15.75" customHeight="1">
      <c r="A48" s="7" t="s">
        <v>285</v>
      </c>
      <c r="B48" s="7" t="s">
        <v>58</v>
      </c>
      <c r="C48" s="7" t="s">
        <v>281</v>
      </c>
      <c r="D48" s="7" t="s">
        <v>286</v>
      </c>
      <c r="E48" s="7" t="s">
        <v>287</v>
      </c>
      <c r="F48" s="7" t="s">
        <v>227</v>
      </c>
      <c r="G48" s="7" t="s">
        <v>228</v>
      </c>
      <c r="I48" s="8">
        <v>30.0</v>
      </c>
      <c r="J48" s="8">
        <v>42.0</v>
      </c>
      <c r="K48" s="8">
        <v>0.0</v>
      </c>
      <c r="L48" s="8">
        <v>2748807.0</v>
      </c>
      <c r="M48" s="8">
        <v>2748807.0</v>
      </c>
      <c r="N48" s="8">
        <v>2056359.0</v>
      </c>
      <c r="O48" s="8">
        <v>219115.0</v>
      </c>
      <c r="P48" s="8">
        <v>0.0</v>
      </c>
      <c r="Q48" s="8">
        <v>0.0</v>
      </c>
      <c r="R48" s="8">
        <v>0.0</v>
      </c>
      <c r="Y48" s="8">
        <v>125000.0</v>
      </c>
      <c r="AA48" s="8">
        <v>473333.0</v>
      </c>
      <c r="AB48" s="8">
        <v>250000.0</v>
      </c>
      <c r="AF48" s="8">
        <v>250000.0</v>
      </c>
      <c r="AH48" s="9">
        <v>3373807.0</v>
      </c>
      <c r="AI48" s="8">
        <v>314464.0</v>
      </c>
      <c r="AJ48" s="8">
        <v>0.0</v>
      </c>
      <c r="AK48" s="8">
        <v>192416.0</v>
      </c>
      <c r="AL48" s="8">
        <v>0.0</v>
      </c>
      <c r="AM48" s="8">
        <v>16493.0</v>
      </c>
      <c r="AN48" s="8">
        <v>53365.0</v>
      </c>
      <c r="AO48" s="8">
        <v>0.0</v>
      </c>
      <c r="AW48" s="9">
        <v>576738.0</v>
      </c>
      <c r="AX48" s="9">
        <v>2797069.0</v>
      </c>
      <c r="AY48" s="9">
        <f>VLOOKUP(A48,'Hoja 1'!A:AX,50,0)-AX48</f>
        <v>0</v>
      </c>
    </row>
    <row r="49" ht="15.75" customHeight="1">
      <c r="A49" s="7" t="s">
        <v>288</v>
      </c>
      <c r="B49" s="7" t="s">
        <v>58</v>
      </c>
      <c r="C49" s="7" t="s">
        <v>289</v>
      </c>
      <c r="D49" s="7" t="s">
        <v>290</v>
      </c>
      <c r="E49" s="7" t="s">
        <v>291</v>
      </c>
      <c r="F49" s="7" t="s">
        <v>292</v>
      </c>
      <c r="G49" s="7" t="s">
        <v>173</v>
      </c>
      <c r="H49" s="7" t="s">
        <v>71</v>
      </c>
      <c r="I49" s="8">
        <v>30.0</v>
      </c>
      <c r="J49" s="8">
        <v>37.0</v>
      </c>
      <c r="K49" s="8">
        <v>0.0</v>
      </c>
      <c r="L49" s="8">
        <v>2501208.0</v>
      </c>
      <c r="M49" s="8">
        <v>2501208.0</v>
      </c>
      <c r="N49" s="8">
        <v>2282093.0</v>
      </c>
      <c r="O49" s="8">
        <v>219115.0</v>
      </c>
      <c r="P49" s="8">
        <v>0.0</v>
      </c>
      <c r="Q49" s="8">
        <v>0.0</v>
      </c>
      <c r="R49" s="8">
        <v>0.0</v>
      </c>
      <c r="AB49" s="8">
        <v>250000.0</v>
      </c>
      <c r="AF49" s="8">
        <v>250000.0</v>
      </c>
      <c r="AH49" s="9">
        <v>3001208.0</v>
      </c>
      <c r="AI49" s="8">
        <v>264628.0</v>
      </c>
      <c r="AJ49" s="8">
        <v>0.0</v>
      </c>
      <c r="AK49" s="8">
        <v>175085.0</v>
      </c>
      <c r="AL49" s="8">
        <v>0.0</v>
      </c>
      <c r="AM49" s="8">
        <v>15007.0</v>
      </c>
      <c r="AN49" s="8">
        <v>43169.0</v>
      </c>
      <c r="AO49" s="8">
        <v>0.0</v>
      </c>
      <c r="AW49" s="9">
        <v>497889.0</v>
      </c>
      <c r="AX49" s="9">
        <v>2503319.0</v>
      </c>
      <c r="AY49" s="9">
        <f>VLOOKUP(A49,'Hoja 1'!A:AX,50,0)-AX49</f>
        <v>0</v>
      </c>
    </row>
    <row r="50" ht="15.75" customHeight="1">
      <c r="A50" s="7" t="s">
        <v>293</v>
      </c>
      <c r="B50" s="7" t="s">
        <v>58</v>
      </c>
      <c r="C50" s="7" t="s">
        <v>294</v>
      </c>
      <c r="D50" s="7" t="s">
        <v>122</v>
      </c>
      <c r="E50" s="7" t="s">
        <v>295</v>
      </c>
      <c r="F50" s="7" t="s">
        <v>261</v>
      </c>
      <c r="G50" s="7" t="s">
        <v>228</v>
      </c>
      <c r="I50" s="8">
        <v>30.0</v>
      </c>
      <c r="J50" s="8">
        <v>42.0</v>
      </c>
      <c r="K50" s="8">
        <v>0.0</v>
      </c>
      <c r="L50" s="8">
        <v>3678639.0</v>
      </c>
      <c r="M50" s="8">
        <v>3768212.0</v>
      </c>
      <c r="N50" s="8">
        <v>3075764.0</v>
      </c>
      <c r="O50" s="8">
        <v>219115.0</v>
      </c>
      <c r="P50" s="8">
        <v>0.0</v>
      </c>
      <c r="Q50" s="8">
        <v>0.0</v>
      </c>
      <c r="R50" s="8">
        <v>0.0</v>
      </c>
      <c r="Y50" s="8">
        <v>100000.0</v>
      </c>
      <c r="AA50" s="8">
        <v>473333.0</v>
      </c>
      <c r="AB50" s="8">
        <v>387500.0</v>
      </c>
      <c r="AF50" s="8">
        <v>387500.0</v>
      </c>
      <c r="AH50" s="9">
        <v>4643212.0</v>
      </c>
      <c r="AI50" s="8">
        <v>414583.0</v>
      </c>
      <c r="AJ50" s="8">
        <v>0.0</v>
      </c>
      <c r="AK50" s="8">
        <v>257505.0</v>
      </c>
      <c r="AL50" s="8">
        <v>0.0</v>
      </c>
      <c r="AM50" s="8">
        <v>22609.0</v>
      </c>
      <c r="AN50" s="8">
        <v>121212.0</v>
      </c>
      <c r="AO50" s="8">
        <v>0.0</v>
      </c>
      <c r="AS50" s="8">
        <v>11860.0</v>
      </c>
      <c r="AV50" s="8">
        <v>34187.0</v>
      </c>
      <c r="AW50" s="9">
        <v>861956.0</v>
      </c>
      <c r="AX50" s="9">
        <v>3781256.0</v>
      </c>
      <c r="AY50" s="9">
        <f>VLOOKUP(A50,'Hoja 1'!A:AX,50,0)-AX50</f>
        <v>0</v>
      </c>
    </row>
    <row r="51" ht="15.75" customHeight="1">
      <c r="A51" s="7" t="s">
        <v>296</v>
      </c>
      <c r="B51" s="7" t="s">
        <v>58</v>
      </c>
      <c r="C51" s="7" t="s">
        <v>297</v>
      </c>
      <c r="D51" s="7" t="s">
        <v>298</v>
      </c>
      <c r="E51" s="7" t="s">
        <v>299</v>
      </c>
      <c r="F51" s="7" t="s">
        <v>279</v>
      </c>
      <c r="G51" s="7" t="s">
        <v>173</v>
      </c>
      <c r="H51" s="7" t="s">
        <v>71</v>
      </c>
      <c r="I51" s="8">
        <v>30.0</v>
      </c>
      <c r="J51" s="8">
        <v>37.0</v>
      </c>
      <c r="K51" s="8">
        <v>0.0</v>
      </c>
      <c r="L51" s="8">
        <v>2621208.0</v>
      </c>
      <c r="M51" s="8">
        <v>2621208.0</v>
      </c>
      <c r="N51" s="8">
        <v>2402093.0</v>
      </c>
      <c r="O51" s="8">
        <v>219115.0</v>
      </c>
      <c r="P51" s="8">
        <v>0.0</v>
      </c>
      <c r="Q51" s="8">
        <v>0.0</v>
      </c>
      <c r="R51" s="8">
        <v>0.0</v>
      </c>
      <c r="AB51" s="8">
        <v>190000.0</v>
      </c>
      <c r="AF51" s="8">
        <v>190000.0</v>
      </c>
      <c r="AH51" s="9">
        <v>3001208.0</v>
      </c>
      <c r="AI51" s="8">
        <v>277324.0</v>
      </c>
      <c r="AJ51" s="8">
        <v>0.0</v>
      </c>
      <c r="AK51" s="8">
        <v>183485.0</v>
      </c>
      <c r="AL51" s="8">
        <v>0.0</v>
      </c>
      <c r="AM51" s="8">
        <v>15727.0</v>
      </c>
      <c r="AN51" s="8">
        <v>47096.0</v>
      </c>
      <c r="AO51" s="8">
        <v>0.0</v>
      </c>
      <c r="AW51" s="9">
        <v>523632.0</v>
      </c>
      <c r="AX51" s="9">
        <v>2477576.0</v>
      </c>
      <c r="AY51" s="9">
        <f>VLOOKUP(A51,'Hoja 1'!A:AX,50,0)-AX51</f>
        <v>0</v>
      </c>
    </row>
    <row r="52" ht="15.75" customHeight="1">
      <c r="A52" s="7" t="s">
        <v>300</v>
      </c>
      <c r="B52" s="7" t="s">
        <v>58</v>
      </c>
      <c r="C52" s="7" t="s">
        <v>301</v>
      </c>
      <c r="D52" s="7" t="s">
        <v>302</v>
      </c>
      <c r="E52" s="7" t="s">
        <v>303</v>
      </c>
      <c r="F52" s="7" t="s">
        <v>304</v>
      </c>
      <c r="G52" s="7" t="s">
        <v>228</v>
      </c>
      <c r="I52" s="8">
        <v>30.0</v>
      </c>
      <c r="J52" s="8">
        <v>42.0</v>
      </c>
      <c r="K52" s="8">
        <v>0.0</v>
      </c>
      <c r="L52" s="8">
        <v>3678639.0</v>
      </c>
      <c r="M52" s="8">
        <v>3752909.0</v>
      </c>
      <c r="N52" s="8">
        <v>3060461.0</v>
      </c>
      <c r="O52" s="8">
        <v>219115.0</v>
      </c>
      <c r="P52" s="8">
        <v>0.0</v>
      </c>
      <c r="Q52" s="8">
        <v>0.0</v>
      </c>
      <c r="R52" s="8">
        <v>0.0</v>
      </c>
      <c r="Y52" s="8">
        <v>100000.0</v>
      </c>
      <c r="AA52" s="8">
        <v>473333.0</v>
      </c>
      <c r="AB52" s="8">
        <v>387500.0</v>
      </c>
      <c r="AF52" s="8">
        <v>387500.0</v>
      </c>
      <c r="AH52" s="9">
        <v>4627909.0</v>
      </c>
      <c r="AI52" s="8">
        <v>389200.0</v>
      </c>
      <c r="AJ52" s="8">
        <v>0.0</v>
      </c>
      <c r="AK52" s="8">
        <v>257505.0</v>
      </c>
      <c r="AL52" s="8">
        <v>0.0</v>
      </c>
      <c r="AM52" s="8">
        <v>22517.0</v>
      </c>
      <c r="AN52" s="8">
        <v>122026.0</v>
      </c>
      <c r="AO52" s="8">
        <v>0.0</v>
      </c>
      <c r="AW52" s="9">
        <v>791248.0</v>
      </c>
      <c r="AX52" s="9">
        <v>3836661.0</v>
      </c>
      <c r="AY52" s="9">
        <f>VLOOKUP(A52,'Hoja 1'!A:AX,50,0)-AX52</f>
        <v>0</v>
      </c>
    </row>
    <row r="53" ht="15.75" customHeight="1">
      <c r="A53" s="7" t="s">
        <v>305</v>
      </c>
      <c r="B53" s="7" t="s">
        <v>58</v>
      </c>
      <c r="C53" s="7" t="s">
        <v>99</v>
      </c>
      <c r="D53" s="7" t="s">
        <v>306</v>
      </c>
      <c r="E53" s="7" t="s">
        <v>307</v>
      </c>
      <c r="F53" s="7" t="s">
        <v>308</v>
      </c>
      <c r="G53" s="7" t="s">
        <v>82</v>
      </c>
      <c r="H53" s="7" t="s">
        <v>71</v>
      </c>
      <c r="I53" s="8">
        <v>30.0</v>
      </c>
      <c r="J53" s="8">
        <v>42.0</v>
      </c>
      <c r="K53" s="8">
        <v>0.0</v>
      </c>
      <c r="L53" s="8">
        <v>1231897.0</v>
      </c>
      <c r="M53" s="8">
        <v>1231897.0</v>
      </c>
      <c r="N53" s="8">
        <v>1012782.0</v>
      </c>
      <c r="O53" s="8">
        <v>219115.0</v>
      </c>
      <c r="P53" s="8">
        <v>0.0</v>
      </c>
      <c r="Q53" s="8">
        <v>0.0</v>
      </c>
      <c r="R53" s="8">
        <v>0.0</v>
      </c>
      <c r="U53" s="8">
        <v>20000.0</v>
      </c>
      <c r="AH53" s="9">
        <v>1251897.0</v>
      </c>
      <c r="AI53" s="8">
        <v>141052.0</v>
      </c>
      <c r="AJ53" s="8">
        <v>0.0</v>
      </c>
      <c r="AK53" s="8">
        <v>86233.0</v>
      </c>
      <c r="AL53" s="8">
        <v>0.0</v>
      </c>
      <c r="AM53" s="8">
        <v>7391.0</v>
      </c>
      <c r="AN53" s="8">
        <v>1198.0</v>
      </c>
      <c r="AO53" s="8">
        <v>0.0</v>
      </c>
      <c r="AQ53" s="8">
        <v>19800.0</v>
      </c>
      <c r="AW53" s="9">
        <v>255674.0</v>
      </c>
      <c r="AX53" s="9">
        <v>996223.0</v>
      </c>
      <c r="AY53" s="9">
        <f>VLOOKUP(A53,'Hoja 1'!A:AX,50,0)-AX53</f>
        <v>0</v>
      </c>
    </row>
    <row r="54" ht="15.75" customHeight="1">
      <c r="A54" s="7" t="s">
        <v>309</v>
      </c>
      <c r="B54" s="7" t="s">
        <v>58</v>
      </c>
      <c r="C54" s="7" t="s">
        <v>310</v>
      </c>
      <c r="D54" s="7" t="s">
        <v>311</v>
      </c>
      <c r="E54" s="7" t="s">
        <v>312</v>
      </c>
      <c r="F54" s="7" t="s">
        <v>313</v>
      </c>
      <c r="G54" s="7" t="s">
        <v>63</v>
      </c>
      <c r="I54" s="8">
        <v>30.0</v>
      </c>
      <c r="J54" s="8">
        <v>40.0</v>
      </c>
      <c r="K54" s="8">
        <v>0.0</v>
      </c>
      <c r="L54" s="8">
        <v>3058855.0</v>
      </c>
      <c r="M54" s="8">
        <v>3058855.0</v>
      </c>
      <c r="N54" s="8">
        <v>2366407.0</v>
      </c>
      <c r="O54" s="8">
        <v>219115.0</v>
      </c>
      <c r="P54" s="8">
        <v>0.0</v>
      </c>
      <c r="Q54" s="8">
        <v>0.0</v>
      </c>
      <c r="R54" s="8">
        <v>0.0</v>
      </c>
      <c r="Y54" s="8">
        <v>35000.0</v>
      </c>
      <c r="AA54" s="8">
        <v>473333.0</v>
      </c>
      <c r="AB54" s="8">
        <v>250000.0</v>
      </c>
      <c r="AF54" s="8">
        <v>215000.0</v>
      </c>
      <c r="AH54" s="9">
        <v>3558855.0</v>
      </c>
      <c r="AI54" s="8">
        <v>319956.0</v>
      </c>
      <c r="AJ54" s="8">
        <v>0.0</v>
      </c>
      <c r="AK54" s="8">
        <v>214120.0</v>
      </c>
      <c r="AL54" s="8">
        <v>0.0</v>
      </c>
      <c r="AM54" s="8">
        <v>18353.0</v>
      </c>
      <c r="AN54" s="8">
        <v>75845.0</v>
      </c>
      <c r="AO54" s="8">
        <v>0.0</v>
      </c>
      <c r="AS54" s="8">
        <v>368400.0</v>
      </c>
      <c r="AW54" s="9">
        <v>996674.0</v>
      </c>
      <c r="AX54" s="9">
        <v>2562181.0</v>
      </c>
      <c r="AY54" s="9">
        <f>VLOOKUP(A54,'Hoja 1'!A:AX,50,0)-AX54</f>
        <v>0</v>
      </c>
    </row>
    <row r="55" ht="15.75" customHeight="1">
      <c r="A55" s="7" t="s">
        <v>314</v>
      </c>
      <c r="B55" s="7" t="s">
        <v>58</v>
      </c>
      <c r="C55" s="7" t="s">
        <v>315</v>
      </c>
      <c r="D55" s="7" t="s">
        <v>316</v>
      </c>
      <c r="E55" s="7" t="s">
        <v>317</v>
      </c>
      <c r="F55" s="7" t="s">
        <v>69</v>
      </c>
      <c r="G55" s="7" t="s">
        <v>70</v>
      </c>
      <c r="H55" s="7" t="s">
        <v>71</v>
      </c>
      <c r="I55" s="8">
        <v>30.0</v>
      </c>
      <c r="J55" s="8">
        <v>40.0</v>
      </c>
      <c r="K55" s="8">
        <v>0.0</v>
      </c>
      <c r="L55" s="8">
        <v>2193260.0</v>
      </c>
      <c r="M55" s="8">
        <v>2193260.0</v>
      </c>
      <c r="N55" s="8">
        <v>1974145.0</v>
      </c>
      <c r="O55" s="8">
        <v>219115.0</v>
      </c>
      <c r="P55" s="8">
        <v>0.0</v>
      </c>
      <c r="Q55" s="8">
        <v>0.0</v>
      </c>
      <c r="R55" s="8">
        <v>0.0</v>
      </c>
      <c r="T55" s="8">
        <v>350000.0</v>
      </c>
      <c r="U55" s="8">
        <v>25000.0</v>
      </c>
      <c r="AB55" s="8">
        <v>165000.0</v>
      </c>
      <c r="AF55" s="8">
        <v>150000.0</v>
      </c>
      <c r="AH55" s="9">
        <v>2883260.0</v>
      </c>
      <c r="AI55" s="8">
        <v>250909.0</v>
      </c>
      <c r="AJ55" s="8">
        <v>0.0</v>
      </c>
      <c r="AK55" s="8">
        <v>153528.0</v>
      </c>
      <c r="AL55" s="8">
        <v>0.0</v>
      </c>
      <c r="AM55" s="8">
        <v>13160.0</v>
      </c>
      <c r="AN55" s="8">
        <v>32336.0</v>
      </c>
      <c r="AO55" s="8">
        <v>0.0</v>
      </c>
      <c r="AW55" s="9">
        <v>449933.0</v>
      </c>
      <c r="AX55" s="9">
        <v>2433327.0</v>
      </c>
      <c r="AY55" s="9">
        <f>VLOOKUP(A55,'Hoja 1'!A:AX,50,0)-AX55</f>
        <v>0</v>
      </c>
    </row>
    <row r="56" ht="15.75" customHeight="1">
      <c r="A56" s="7" t="s">
        <v>318</v>
      </c>
      <c r="B56" s="7" t="s">
        <v>58</v>
      </c>
      <c r="C56" s="7" t="s">
        <v>319</v>
      </c>
      <c r="D56" s="7" t="s">
        <v>320</v>
      </c>
      <c r="E56" s="7" t="s">
        <v>321</v>
      </c>
      <c r="F56" s="7" t="s">
        <v>261</v>
      </c>
      <c r="G56" s="7" t="s">
        <v>228</v>
      </c>
      <c r="I56" s="8">
        <v>30.0</v>
      </c>
      <c r="J56" s="8">
        <v>42.0</v>
      </c>
      <c r="K56" s="8">
        <v>0.0</v>
      </c>
      <c r="L56" s="8">
        <v>3678639.0</v>
      </c>
      <c r="M56" s="8">
        <v>3768212.0</v>
      </c>
      <c r="N56" s="8">
        <v>3075764.0</v>
      </c>
      <c r="O56" s="8">
        <v>219115.0</v>
      </c>
      <c r="P56" s="8">
        <v>0.0</v>
      </c>
      <c r="Q56" s="8">
        <v>0.0</v>
      </c>
      <c r="R56" s="8">
        <v>0.0</v>
      </c>
      <c r="Y56" s="8">
        <v>100000.0</v>
      </c>
      <c r="AA56" s="8">
        <v>473333.0</v>
      </c>
      <c r="AB56" s="8">
        <v>387500.0</v>
      </c>
      <c r="AF56" s="8">
        <v>387500.0</v>
      </c>
      <c r="AH56" s="9">
        <v>4643212.0</v>
      </c>
      <c r="AI56" s="8">
        <v>414583.0</v>
      </c>
      <c r="AJ56" s="8">
        <v>0.0</v>
      </c>
      <c r="AK56" s="8">
        <v>257505.0</v>
      </c>
      <c r="AL56" s="8">
        <v>0.0</v>
      </c>
      <c r="AM56" s="8">
        <v>22609.0</v>
      </c>
      <c r="AN56" s="8">
        <v>121212.0</v>
      </c>
      <c r="AO56" s="8">
        <v>0.0</v>
      </c>
      <c r="AW56" s="9">
        <v>815909.0</v>
      </c>
      <c r="AX56" s="9">
        <v>3827303.0</v>
      </c>
      <c r="AY56" s="9">
        <f>VLOOKUP(A56,'Hoja 1'!A:AX,50,0)-AX56</f>
        <v>0</v>
      </c>
    </row>
    <row r="57" ht="15.75" customHeight="1">
      <c r="A57" s="7" t="s">
        <v>322</v>
      </c>
      <c r="B57" s="7" t="s">
        <v>58</v>
      </c>
      <c r="C57" s="7" t="s">
        <v>323</v>
      </c>
      <c r="D57" s="7" t="s">
        <v>324</v>
      </c>
      <c r="E57" s="7" t="s">
        <v>325</v>
      </c>
      <c r="F57" s="7" t="s">
        <v>326</v>
      </c>
      <c r="G57" s="7" t="s">
        <v>131</v>
      </c>
      <c r="H57" s="7" t="s">
        <v>71</v>
      </c>
      <c r="I57" s="8">
        <v>30.0</v>
      </c>
      <c r="J57" s="8">
        <v>40.0</v>
      </c>
      <c r="K57" s="8">
        <v>0.0</v>
      </c>
      <c r="L57" s="8">
        <v>3678639.0</v>
      </c>
      <c r="M57" s="8">
        <v>5526134.0</v>
      </c>
      <c r="N57" s="8">
        <v>5396846.0</v>
      </c>
      <c r="O57" s="8">
        <v>219115.0</v>
      </c>
      <c r="P57" s="8">
        <v>0.0</v>
      </c>
      <c r="Q57" s="8">
        <v>0.0</v>
      </c>
      <c r="R57" s="8">
        <v>0.0</v>
      </c>
      <c r="AH57" s="9">
        <v>5615961.0</v>
      </c>
      <c r="AI57" s="8">
        <v>414583.0</v>
      </c>
      <c r="AJ57" s="8">
        <v>0.0</v>
      </c>
      <c r="AK57" s="8">
        <v>257505.0</v>
      </c>
      <c r="AL57" s="8">
        <v>343585.0</v>
      </c>
      <c r="AM57" s="8">
        <v>33157.0</v>
      </c>
      <c r="AN57" s="8">
        <v>341243.0</v>
      </c>
      <c r="AO57" s="8">
        <v>0.0</v>
      </c>
      <c r="AW57" s="9">
        <v>1390073.0</v>
      </c>
      <c r="AX57" s="9">
        <v>4225888.0</v>
      </c>
      <c r="AY57" s="9">
        <f>VLOOKUP(A57,'Hoja 1'!A:AX,50,0)-AX57</f>
        <v>0</v>
      </c>
    </row>
    <row r="58" ht="15.75" customHeight="1">
      <c r="A58" s="7" t="s">
        <v>327</v>
      </c>
      <c r="B58" s="7" t="s">
        <v>58</v>
      </c>
      <c r="C58" s="7" t="s">
        <v>328</v>
      </c>
      <c r="D58" s="7" t="s">
        <v>166</v>
      </c>
      <c r="E58" s="7" t="s">
        <v>329</v>
      </c>
      <c r="F58" s="7" t="s">
        <v>330</v>
      </c>
      <c r="G58" s="7" t="s">
        <v>178</v>
      </c>
      <c r="H58" s="7" t="s">
        <v>71</v>
      </c>
      <c r="I58" s="8">
        <v>30.0</v>
      </c>
      <c r="J58" s="8">
        <v>42.0</v>
      </c>
      <c r="K58" s="8">
        <v>0.0</v>
      </c>
      <c r="L58" s="8">
        <v>3678639.0</v>
      </c>
      <c r="M58" s="8">
        <v>3773058.0</v>
      </c>
      <c r="N58" s="8">
        <v>3553943.0</v>
      </c>
      <c r="O58" s="8">
        <v>219115.0</v>
      </c>
      <c r="P58" s="8">
        <v>0.0</v>
      </c>
      <c r="Q58" s="8">
        <v>0.0</v>
      </c>
      <c r="R58" s="8">
        <v>0.0</v>
      </c>
      <c r="AH58" s="9">
        <v>3773058.0</v>
      </c>
      <c r="AI58" s="8">
        <v>389200.0</v>
      </c>
      <c r="AJ58" s="8">
        <v>0.0</v>
      </c>
      <c r="AK58" s="8">
        <v>257505.0</v>
      </c>
      <c r="AL58" s="8">
        <v>0.0</v>
      </c>
      <c r="AM58" s="8">
        <v>0.0</v>
      </c>
      <c r="AN58" s="8">
        <v>125439.0</v>
      </c>
      <c r="AO58" s="8">
        <v>0.0</v>
      </c>
      <c r="AW58" s="9">
        <v>772144.0</v>
      </c>
      <c r="AX58" s="9">
        <v>3000914.0</v>
      </c>
      <c r="AY58" s="9">
        <f>VLOOKUP(A58,'Hoja 1'!A:AX,50,0)-AX58</f>
        <v>0</v>
      </c>
    </row>
    <row r="59" ht="15.75" customHeight="1">
      <c r="A59" s="7" t="s">
        <v>331</v>
      </c>
      <c r="B59" s="7" t="s">
        <v>58</v>
      </c>
      <c r="C59" s="7" t="s">
        <v>332</v>
      </c>
      <c r="D59" s="7" t="s">
        <v>333</v>
      </c>
      <c r="E59" s="7" t="s">
        <v>334</v>
      </c>
      <c r="F59" s="7" t="s">
        <v>335</v>
      </c>
      <c r="G59" s="7" t="s">
        <v>173</v>
      </c>
      <c r="H59" s="7" t="s">
        <v>71</v>
      </c>
      <c r="I59" s="8">
        <v>30.0</v>
      </c>
      <c r="J59" s="8">
        <v>37.0</v>
      </c>
      <c r="K59" s="8">
        <v>0.0</v>
      </c>
      <c r="L59" s="8">
        <v>1687306.0</v>
      </c>
      <c r="M59" s="8">
        <v>1687306.0</v>
      </c>
      <c r="N59" s="8">
        <v>1468191.0</v>
      </c>
      <c r="O59" s="8">
        <v>219115.0</v>
      </c>
      <c r="P59" s="8">
        <v>0.0</v>
      </c>
      <c r="Q59" s="8">
        <v>0.0</v>
      </c>
      <c r="R59" s="8">
        <v>0.0</v>
      </c>
      <c r="AB59" s="8">
        <v>170000.0</v>
      </c>
      <c r="AF59" s="8">
        <v>170000.0</v>
      </c>
      <c r="AH59" s="9">
        <v>2027306.0</v>
      </c>
      <c r="AI59" s="8">
        <v>193028.0</v>
      </c>
      <c r="AJ59" s="8">
        <v>0.0</v>
      </c>
      <c r="AK59" s="8">
        <v>118111.0</v>
      </c>
      <c r="AL59" s="8">
        <v>0.0</v>
      </c>
      <c r="AM59" s="8">
        <v>10124.0</v>
      </c>
      <c r="AN59" s="8">
        <v>15951.0</v>
      </c>
      <c r="AO59" s="8">
        <v>0.0</v>
      </c>
      <c r="AW59" s="9">
        <v>337214.0</v>
      </c>
      <c r="AX59" s="9">
        <v>1690092.0</v>
      </c>
      <c r="AY59" s="9">
        <f>VLOOKUP(A59,'Hoja 1'!A:AX,50,0)-AX59</f>
        <v>0</v>
      </c>
    </row>
    <row r="60" ht="15.75" customHeight="1">
      <c r="A60" s="7" t="s">
        <v>336</v>
      </c>
      <c r="B60" s="7" t="s">
        <v>58</v>
      </c>
      <c r="C60" s="7" t="s">
        <v>337</v>
      </c>
      <c r="D60" s="7" t="s">
        <v>337</v>
      </c>
      <c r="E60" s="7" t="s">
        <v>338</v>
      </c>
      <c r="F60" s="7" t="s">
        <v>339</v>
      </c>
      <c r="G60" s="7" t="s">
        <v>213</v>
      </c>
      <c r="H60" s="7" t="s">
        <v>71</v>
      </c>
      <c r="I60" s="8">
        <v>30.0</v>
      </c>
      <c r="J60" s="8">
        <v>42.0</v>
      </c>
      <c r="K60" s="8">
        <v>0.0</v>
      </c>
      <c r="L60" s="8">
        <v>2309115.0</v>
      </c>
      <c r="M60" s="8">
        <v>2309115.0</v>
      </c>
      <c r="N60" s="8">
        <v>2090000.0</v>
      </c>
      <c r="O60" s="8">
        <v>219115.0</v>
      </c>
      <c r="P60" s="8">
        <v>0.0</v>
      </c>
      <c r="Q60" s="8">
        <v>0.0</v>
      </c>
      <c r="R60" s="8">
        <v>0.0</v>
      </c>
      <c r="Y60" s="8">
        <v>18550.0</v>
      </c>
      <c r="AH60" s="9">
        <v>2327665.0</v>
      </c>
      <c r="AI60" s="8">
        <v>264394.0</v>
      </c>
      <c r="AJ60" s="8">
        <v>0.0</v>
      </c>
      <c r="AK60" s="8">
        <v>161638.0</v>
      </c>
      <c r="AL60" s="8">
        <v>100894.0</v>
      </c>
      <c r="AM60" s="8">
        <v>13855.0</v>
      </c>
      <c r="AN60" s="8">
        <v>32244.0</v>
      </c>
      <c r="AO60" s="8">
        <v>0.0</v>
      </c>
      <c r="AS60" s="8">
        <v>247037.0</v>
      </c>
      <c r="AW60" s="9">
        <v>820062.0</v>
      </c>
      <c r="AX60" s="9">
        <v>1507603.0</v>
      </c>
      <c r="AY60" s="9">
        <f>VLOOKUP(A60,'Hoja 1'!A:AX,50,0)-AX60</f>
        <v>0</v>
      </c>
    </row>
    <row r="61" ht="15.75" customHeight="1">
      <c r="A61" s="7" t="s">
        <v>340</v>
      </c>
      <c r="B61" s="7" t="s">
        <v>58</v>
      </c>
      <c r="C61" s="7" t="s">
        <v>341</v>
      </c>
      <c r="D61" s="7" t="s">
        <v>342</v>
      </c>
      <c r="E61" s="7" t="s">
        <v>343</v>
      </c>
      <c r="F61" s="7" t="s">
        <v>274</v>
      </c>
      <c r="G61" s="7" t="s">
        <v>63</v>
      </c>
      <c r="I61" s="8">
        <v>30.0</v>
      </c>
      <c r="J61" s="8">
        <v>40.0</v>
      </c>
      <c r="K61" s="8">
        <v>0.0</v>
      </c>
      <c r="L61" s="8">
        <v>3216633.0</v>
      </c>
      <c r="M61" s="8">
        <v>3216633.0</v>
      </c>
      <c r="N61" s="8">
        <v>2366407.0</v>
      </c>
      <c r="O61" s="8">
        <v>219115.0</v>
      </c>
      <c r="P61" s="8">
        <v>0.0</v>
      </c>
      <c r="Q61" s="8">
        <v>0.0</v>
      </c>
      <c r="R61" s="8">
        <v>0.0</v>
      </c>
      <c r="Y61" s="8">
        <v>35000.0</v>
      </c>
      <c r="AA61" s="8">
        <v>631111.0</v>
      </c>
      <c r="AB61" s="8">
        <v>250000.0</v>
      </c>
      <c r="AF61" s="8">
        <v>215000.0</v>
      </c>
      <c r="AH61" s="9">
        <v>3716633.0</v>
      </c>
      <c r="AI61" s="8">
        <v>340320.0</v>
      </c>
      <c r="AJ61" s="8">
        <v>0.0</v>
      </c>
      <c r="AK61" s="8">
        <v>225164.0</v>
      </c>
      <c r="AL61" s="8">
        <v>30297.0</v>
      </c>
      <c r="AM61" s="8">
        <v>19300.0</v>
      </c>
      <c r="AN61" s="8">
        <v>83455.0</v>
      </c>
      <c r="AO61" s="8">
        <v>0.0</v>
      </c>
      <c r="AW61" s="9">
        <v>698536.0</v>
      </c>
      <c r="AX61" s="9">
        <v>3018097.0</v>
      </c>
      <c r="AY61" s="9">
        <f>VLOOKUP(A61,'Hoja 1'!A:AX,50,0)-AX61</f>
        <v>0</v>
      </c>
    </row>
    <row r="62" ht="15.75" customHeight="1">
      <c r="A62" s="7" t="s">
        <v>344</v>
      </c>
      <c r="B62" s="7" t="s">
        <v>58</v>
      </c>
      <c r="C62" s="7" t="s">
        <v>341</v>
      </c>
      <c r="D62" s="7" t="s">
        <v>345</v>
      </c>
      <c r="E62" s="7" t="s">
        <v>346</v>
      </c>
      <c r="F62" s="7" t="s">
        <v>347</v>
      </c>
      <c r="G62" s="7" t="s">
        <v>178</v>
      </c>
      <c r="H62" s="7" t="s">
        <v>71</v>
      </c>
      <c r="I62" s="8">
        <v>30.0</v>
      </c>
      <c r="J62" s="8">
        <v>44.0</v>
      </c>
      <c r="K62" s="8">
        <v>0.0</v>
      </c>
      <c r="L62" s="8">
        <v>3678639.0</v>
      </c>
      <c r="M62" s="8">
        <v>5489373.0</v>
      </c>
      <c r="N62" s="8">
        <v>5270258.0</v>
      </c>
      <c r="O62" s="8">
        <v>219115.0</v>
      </c>
      <c r="P62" s="8">
        <v>0.0</v>
      </c>
      <c r="Q62" s="8">
        <v>0.0</v>
      </c>
      <c r="R62" s="8">
        <v>0.0</v>
      </c>
      <c r="AH62" s="9">
        <v>5489373.0</v>
      </c>
      <c r="AI62" s="8">
        <v>384786.0</v>
      </c>
      <c r="AJ62" s="8">
        <v>0.0</v>
      </c>
      <c r="AK62" s="8">
        <v>257505.0</v>
      </c>
      <c r="AL62" s="8">
        <v>0.0</v>
      </c>
      <c r="AM62" s="8">
        <v>32936.0</v>
      </c>
      <c r="AN62" s="8">
        <v>328206.0</v>
      </c>
      <c r="AO62" s="8">
        <v>0.0</v>
      </c>
      <c r="AW62" s="9">
        <v>1003433.0</v>
      </c>
      <c r="AX62" s="9">
        <v>4485940.0</v>
      </c>
      <c r="AY62" s="9">
        <f>VLOOKUP(A62,'Hoja 1'!A:AX,50,0)-AX62</f>
        <v>0</v>
      </c>
    </row>
    <row r="63" ht="15.75" customHeight="1">
      <c r="A63" s="7" t="s">
        <v>348</v>
      </c>
      <c r="B63" s="7" t="s">
        <v>58</v>
      </c>
      <c r="C63" s="7" t="s">
        <v>349</v>
      </c>
      <c r="D63" s="7" t="s">
        <v>350</v>
      </c>
      <c r="E63" s="7" t="s">
        <v>351</v>
      </c>
      <c r="F63" s="7" t="s">
        <v>352</v>
      </c>
      <c r="G63" s="7" t="s">
        <v>131</v>
      </c>
      <c r="H63" s="7" t="s">
        <v>71</v>
      </c>
      <c r="I63" s="8">
        <v>30.0</v>
      </c>
      <c r="J63" s="8">
        <v>42.0</v>
      </c>
      <c r="K63" s="8">
        <v>0.0</v>
      </c>
      <c r="L63" s="8">
        <v>3678639.0</v>
      </c>
      <c r="M63" s="8">
        <v>4680929.0</v>
      </c>
      <c r="N63" s="8">
        <v>4461814.0</v>
      </c>
      <c r="O63" s="8">
        <v>219115.0</v>
      </c>
      <c r="P63" s="8">
        <v>0.0</v>
      </c>
      <c r="Q63" s="8">
        <v>0.0</v>
      </c>
      <c r="R63" s="8">
        <v>0.0</v>
      </c>
      <c r="AB63" s="8">
        <v>250000.0</v>
      </c>
      <c r="AF63" s="8">
        <v>250000.0</v>
      </c>
      <c r="AH63" s="9">
        <v>5180929.0</v>
      </c>
      <c r="AI63" s="8">
        <v>414583.0</v>
      </c>
      <c r="AJ63" s="8">
        <v>0.0</v>
      </c>
      <c r="AK63" s="8">
        <v>257505.0</v>
      </c>
      <c r="AL63" s="8">
        <v>31881.0</v>
      </c>
      <c r="AM63" s="8">
        <v>28086.0</v>
      </c>
      <c r="AN63" s="8">
        <v>215698.0</v>
      </c>
      <c r="AO63" s="8">
        <v>0.0</v>
      </c>
      <c r="AW63" s="9">
        <v>947753.0</v>
      </c>
      <c r="AX63" s="9">
        <v>4233176.0</v>
      </c>
      <c r="AY63" s="9">
        <f>VLOOKUP(A63,'Hoja 1'!A:AX,50,0)-AX63</f>
        <v>0</v>
      </c>
    </row>
    <row r="64" ht="15.75" customHeight="1">
      <c r="A64" s="7" t="s">
        <v>353</v>
      </c>
      <c r="B64" s="7" t="s">
        <v>58</v>
      </c>
      <c r="C64" s="7" t="s">
        <v>349</v>
      </c>
      <c r="D64" s="7" t="s">
        <v>354</v>
      </c>
      <c r="E64" s="7" t="s">
        <v>355</v>
      </c>
      <c r="F64" s="7" t="s">
        <v>227</v>
      </c>
      <c r="G64" s="7" t="s">
        <v>228</v>
      </c>
      <c r="I64" s="8">
        <v>30.0</v>
      </c>
      <c r="J64" s="8">
        <v>42.0</v>
      </c>
      <c r="K64" s="8">
        <v>0.0</v>
      </c>
      <c r="L64" s="8">
        <v>3049793.0</v>
      </c>
      <c r="M64" s="8">
        <v>3049793.0</v>
      </c>
      <c r="N64" s="8">
        <v>2357345.0</v>
      </c>
      <c r="O64" s="8">
        <v>219115.0</v>
      </c>
      <c r="P64" s="8">
        <v>0.0</v>
      </c>
      <c r="Q64" s="8">
        <v>0.0</v>
      </c>
      <c r="R64" s="8">
        <v>0.0</v>
      </c>
      <c r="Y64" s="8">
        <v>100000.0</v>
      </c>
      <c r="AA64" s="8">
        <v>473333.0</v>
      </c>
      <c r="AB64" s="8">
        <v>300000.0</v>
      </c>
      <c r="AF64" s="8">
        <v>300000.0</v>
      </c>
      <c r="AH64" s="9">
        <v>3749793.0</v>
      </c>
      <c r="AI64" s="8">
        <v>343712.0</v>
      </c>
      <c r="AJ64" s="8">
        <v>0.0</v>
      </c>
      <c r="AK64" s="8">
        <v>213486.0</v>
      </c>
      <c r="AL64" s="8">
        <v>0.0</v>
      </c>
      <c r="AM64" s="8">
        <v>18299.0</v>
      </c>
      <c r="AN64" s="8">
        <v>73274.0</v>
      </c>
      <c r="AO64" s="8">
        <v>0.0</v>
      </c>
      <c r="AP64" s="8">
        <v>780000.0</v>
      </c>
      <c r="AS64" s="8">
        <v>79490.0</v>
      </c>
      <c r="AW64" s="9">
        <v>1508261.0</v>
      </c>
      <c r="AX64" s="9">
        <v>2241532.0</v>
      </c>
      <c r="AY64" s="9">
        <f>VLOOKUP(A64,'Hoja 1'!A:AX,50,0)-AX64</f>
        <v>0</v>
      </c>
    </row>
    <row r="65" ht="15.75" customHeight="1">
      <c r="A65" s="7" t="s">
        <v>356</v>
      </c>
      <c r="B65" s="7" t="s">
        <v>58</v>
      </c>
      <c r="C65" s="7" t="s">
        <v>357</v>
      </c>
      <c r="D65" s="7" t="s">
        <v>200</v>
      </c>
      <c r="E65" s="7" t="s">
        <v>358</v>
      </c>
      <c r="F65" s="7" t="s">
        <v>177</v>
      </c>
      <c r="G65" s="7" t="s">
        <v>178</v>
      </c>
      <c r="H65" s="7" t="s">
        <v>71</v>
      </c>
      <c r="I65" s="8">
        <v>30.0</v>
      </c>
      <c r="J65" s="8">
        <v>40.0</v>
      </c>
      <c r="K65" s="8">
        <v>0.0</v>
      </c>
      <c r="L65" s="8">
        <v>3678639.0</v>
      </c>
      <c r="M65" s="8">
        <v>5142553.0</v>
      </c>
      <c r="N65" s="8">
        <v>4923438.0</v>
      </c>
      <c r="O65" s="8">
        <v>219115.0</v>
      </c>
      <c r="P65" s="8">
        <v>0.0</v>
      </c>
      <c r="Q65" s="8">
        <v>0.0</v>
      </c>
      <c r="R65" s="8">
        <v>0.0</v>
      </c>
      <c r="AH65" s="9">
        <v>5142553.0</v>
      </c>
      <c r="AI65" s="8">
        <v>420836.0</v>
      </c>
      <c r="AJ65" s="8">
        <v>0.0</v>
      </c>
      <c r="AK65" s="8">
        <v>257505.0</v>
      </c>
      <c r="AL65" s="8">
        <v>0.0</v>
      </c>
      <c r="AM65" s="8">
        <v>30855.0</v>
      </c>
      <c r="AN65" s="8">
        <v>276799.0</v>
      </c>
      <c r="AO65" s="8">
        <v>0.0</v>
      </c>
      <c r="AW65" s="9">
        <v>985995.0</v>
      </c>
      <c r="AX65" s="9">
        <v>4156558.0</v>
      </c>
      <c r="AY65" s="9">
        <f>VLOOKUP(A65,'Hoja 1'!A:AX,50,0)-AX65</f>
        <v>0</v>
      </c>
    </row>
    <row r="66" ht="15.75" customHeight="1">
      <c r="A66" s="7" t="s">
        <v>359</v>
      </c>
      <c r="B66" s="7" t="s">
        <v>58</v>
      </c>
      <c r="C66" s="7" t="s">
        <v>360</v>
      </c>
      <c r="D66" s="7" t="s">
        <v>161</v>
      </c>
      <c r="E66" s="7" t="s">
        <v>361</v>
      </c>
      <c r="F66" s="7" t="s">
        <v>362</v>
      </c>
      <c r="G66" s="7" t="s">
        <v>88</v>
      </c>
      <c r="H66" s="7" t="s">
        <v>71</v>
      </c>
      <c r="I66" s="8">
        <v>30.0</v>
      </c>
      <c r="J66" s="8">
        <v>44.0</v>
      </c>
      <c r="K66" s="8">
        <v>0.0</v>
      </c>
      <c r="L66" s="8">
        <v>3180336.0</v>
      </c>
      <c r="M66" s="8">
        <v>3180336.0</v>
      </c>
      <c r="N66" s="8">
        <v>2961221.0</v>
      </c>
      <c r="O66" s="8">
        <v>219115.0</v>
      </c>
      <c r="P66" s="8">
        <v>0.0</v>
      </c>
      <c r="Q66" s="8">
        <v>0.0</v>
      </c>
      <c r="R66" s="8">
        <v>0.0</v>
      </c>
      <c r="AB66" s="8">
        <v>200000.0</v>
      </c>
      <c r="AF66" s="8">
        <v>200000.0</v>
      </c>
      <c r="AH66" s="9">
        <v>3580336.0</v>
      </c>
      <c r="AI66" s="8">
        <v>363830.0</v>
      </c>
      <c r="AJ66" s="8">
        <v>0.0</v>
      </c>
      <c r="AK66" s="8">
        <v>222624.0</v>
      </c>
      <c r="AL66" s="8">
        <v>42974.0</v>
      </c>
      <c r="AM66" s="8">
        <v>19082.0</v>
      </c>
      <c r="AN66" s="8">
        <v>78524.0</v>
      </c>
      <c r="AO66" s="8">
        <v>0.0</v>
      </c>
      <c r="AW66" s="9">
        <v>727034.0</v>
      </c>
      <c r="AX66" s="9">
        <v>2853302.0</v>
      </c>
      <c r="AY66" s="9">
        <f>VLOOKUP(A66,'Hoja 1'!A:AX,50,0)-AX66</f>
        <v>0</v>
      </c>
    </row>
    <row r="67" ht="15.75" customHeight="1">
      <c r="A67" s="7" t="s">
        <v>363</v>
      </c>
      <c r="B67" s="7" t="s">
        <v>58</v>
      </c>
      <c r="C67" s="7" t="s">
        <v>364</v>
      </c>
      <c r="D67" s="7" t="s">
        <v>365</v>
      </c>
      <c r="E67" s="7" t="s">
        <v>366</v>
      </c>
      <c r="F67" s="7" t="s">
        <v>261</v>
      </c>
      <c r="G67" s="7" t="s">
        <v>228</v>
      </c>
      <c r="I67" s="8">
        <v>30.0</v>
      </c>
      <c r="J67" s="8">
        <v>42.0</v>
      </c>
      <c r="K67" s="8">
        <v>0.0</v>
      </c>
      <c r="L67" s="8">
        <v>3678639.0</v>
      </c>
      <c r="M67" s="8">
        <v>3768212.0</v>
      </c>
      <c r="N67" s="8">
        <v>3075764.0</v>
      </c>
      <c r="O67" s="8">
        <v>219115.0</v>
      </c>
      <c r="P67" s="8">
        <v>0.0</v>
      </c>
      <c r="Q67" s="8">
        <v>0.0</v>
      </c>
      <c r="R67" s="8">
        <v>0.0</v>
      </c>
      <c r="Y67" s="8">
        <v>100000.0</v>
      </c>
      <c r="AA67" s="8">
        <v>473333.0</v>
      </c>
      <c r="AB67" s="8">
        <v>387500.0</v>
      </c>
      <c r="AF67" s="8">
        <v>387500.0</v>
      </c>
      <c r="AH67" s="9">
        <v>4643212.0</v>
      </c>
      <c r="AI67" s="8">
        <v>414583.0</v>
      </c>
      <c r="AJ67" s="8">
        <v>0.0</v>
      </c>
      <c r="AK67" s="8">
        <v>257505.0</v>
      </c>
      <c r="AL67" s="8">
        <v>0.0</v>
      </c>
      <c r="AM67" s="8">
        <v>22609.0</v>
      </c>
      <c r="AN67" s="8">
        <v>121212.0</v>
      </c>
      <c r="AO67" s="8">
        <v>0.0</v>
      </c>
      <c r="AW67" s="9">
        <v>815909.0</v>
      </c>
      <c r="AX67" s="9">
        <v>3827303.0</v>
      </c>
      <c r="AY67" s="9">
        <f>VLOOKUP(A67,'Hoja 1'!A:AX,50,0)-AX67</f>
        <v>0</v>
      </c>
    </row>
    <row r="68" ht="15.75" customHeight="1">
      <c r="A68" s="7" t="s">
        <v>367</v>
      </c>
      <c r="B68" s="7" t="s">
        <v>58</v>
      </c>
      <c r="C68" s="7" t="s">
        <v>368</v>
      </c>
      <c r="D68" s="7" t="s">
        <v>369</v>
      </c>
      <c r="E68" s="7" t="s">
        <v>370</v>
      </c>
      <c r="F68" s="7" t="s">
        <v>371</v>
      </c>
      <c r="G68" s="7" t="s">
        <v>178</v>
      </c>
      <c r="H68" s="7" t="s">
        <v>71</v>
      </c>
      <c r="I68" s="8">
        <v>30.0</v>
      </c>
      <c r="J68" s="8">
        <v>42.0</v>
      </c>
      <c r="K68" s="8">
        <v>0.0</v>
      </c>
      <c r="L68" s="8">
        <v>3161565.0</v>
      </c>
      <c r="M68" s="8">
        <v>3161565.0</v>
      </c>
      <c r="N68" s="8">
        <v>2942450.0</v>
      </c>
      <c r="O68" s="8">
        <v>219115.0</v>
      </c>
      <c r="P68" s="8">
        <v>0.0</v>
      </c>
      <c r="Q68" s="8">
        <v>0.0</v>
      </c>
      <c r="R68" s="8">
        <v>0.0</v>
      </c>
      <c r="AH68" s="9">
        <v>3161565.0</v>
      </c>
      <c r="AI68" s="8">
        <v>330700.0</v>
      </c>
      <c r="AJ68" s="8">
        <v>0.0</v>
      </c>
      <c r="AK68" s="8">
        <v>221310.0</v>
      </c>
      <c r="AL68" s="8">
        <v>0.0</v>
      </c>
      <c r="AM68" s="8">
        <v>0.0</v>
      </c>
      <c r="AN68" s="8">
        <v>84095.0</v>
      </c>
      <c r="AO68" s="8">
        <v>0.0</v>
      </c>
      <c r="AW68" s="9">
        <v>636105.0</v>
      </c>
      <c r="AX68" s="9">
        <v>2525460.0</v>
      </c>
      <c r="AY68" s="9">
        <f>VLOOKUP(A68,'Hoja 1'!A:AX,50,0)-AX68</f>
        <v>0</v>
      </c>
    </row>
    <row r="69" ht="15.75" customHeight="1">
      <c r="A69" s="7" t="s">
        <v>372</v>
      </c>
      <c r="B69" s="7" t="s">
        <v>58</v>
      </c>
      <c r="C69" s="7" t="s">
        <v>373</v>
      </c>
      <c r="D69" s="7" t="s">
        <v>374</v>
      </c>
      <c r="E69" s="7" t="s">
        <v>375</v>
      </c>
      <c r="F69" s="7" t="s">
        <v>376</v>
      </c>
      <c r="G69" s="7" t="s">
        <v>178</v>
      </c>
      <c r="H69" s="7" t="s">
        <v>71</v>
      </c>
      <c r="I69" s="8">
        <v>30.0</v>
      </c>
      <c r="J69" s="8">
        <v>60.0</v>
      </c>
      <c r="K69" s="8">
        <v>0.0</v>
      </c>
      <c r="L69" s="8">
        <v>3678639.0</v>
      </c>
      <c r="M69" s="8">
        <v>3778030.0</v>
      </c>
      <c r="N69" s="8">
        <v>3558915.0</v>
      </c>
      <c r="O69" s="8">
        <v>219115.0</v>
      </c>
      <c r="P69" s="8">
        <v>0.0</v>
      </c>
      <c r="Q69" s="8">
        <v>0.0</v>
      </c>
      <c r="R69" s="8">
        <v>0.0</v>
      </c>
      <c r="AH69" s="9">
        <v>3778030.0</v>
      </c>
      <c r="AI69" s="8">
        <v>384786.0</v>
      </c>
      <c r="AJ69" s="8">
        <v>0.0</v>
      </c>
      <c r="AK69" s="8">
        <v>257505.0</v>
      </c>
      <c r="AL69" s="8">
        <v>0.0</v>
      </c>
      <c r="AM69" s="8">
        <v>22668.0</v>
      </c>
      <c r="AN69" s="8">
        <v>124376.0</v>
      </c>
      <c r="AO69" s="8">
        <v>0.0</v>
      </c>
      <c r="AW69" s="9">
        <v>789335.0</v>
      </c>
      <c r="AX69" s="9">
        <v>2988695.0</v>
      </c>
      <c r="AY69" s="9">
        <f>VLOOKUP(A69,'Hoja 1'!A:AX,50,0)-AX69</f>
        <v>0</v>
      </c>
    </row>
    <row r="70" ht="15.75" customHeight="1">
      <c r="A70" s="7" t="s">
        <v>377</v>
      </c>
      <c r="B70" s="7" t="s">
        <v>58</v>
      </c>
      <c r="C70" s="7" t="s">
        <v>378</v>
      </c>
      <c r="D70" s="7" t="s">
        <v>379</v>
      </c>
      <c r="E70" s="7" t="s">
        <v>361</v>
      </c>
      <c r="F70" s="7" t="s">
        <v>380</v>
      </c>
      <c r="G70" s="7" t="s">
        <v>228</v>
      </c>
      <c r="I70" s="8">
        <v>30.0</v>
      </c>
      <c r="J70" s="8">
        <v>42.0</v>
      </c>
      <c r="K70" s="8">
        <v>0.0</v>
      </c>
      <c r="L70" s="8">
        <v>2853558.0</v>
      </c>
      <c r="M70" s="8">
        <v>2853558.0</v>
      </c>
      <c r="N70" s="8">
        <v>2634443.0</v>
      </c>
      <c r="O70" s="8">
        <v>219115.0</v>
      </c>
      <c r="P70" s="8">
        <v>0.0</v>
      </c>
      <c r="Q70" s="8">
        <v>0.0</v>
      </c>
      <c r="R70" s="8">
        <v>0.0</v>
      </c>
      <c r="Y70" s="8">
        <v>100000.0</v>
      </c>
      <c r="AB70" s="8">
        <v>325000.0</v>
      </c>
      <c r="AF70" s="8">
        <v>325000.0</v>
      </c>
      <c r="AH70" s="9">
        <v>3603558.0</v>
      </c>
      <c r="AI70" s="8">
        <v>326447.0</v>
      </c>
      <c r="AJ70" s="8">
        <v>0.0</v>
      </c>
      <c r="AK70" s="8">
        <v>199749.0</v>
      </c>
      <c r="AL70" s="8">
        <v>0.0</v>
      </c>
      <c r="AM70" s="8">
        <v>17121.0</v>
      </c>
      <c r="AN70" s="8">
        <v>60150.0</v>
      </c>
      <c r="AO70" s="8">
        <v>0.0</v>
      </c>
      <c r="AP70" s="8">
        <v>250000.0</v>
      </c>
      <c r="AS70" s="8">
        <v>186501.0</v>
      </c>
      <c r="AV70" s="8">
        <v>17972.0</v>
      </c>
      <c r="AW70" s="9">
        <v>1057940.0</v>
      </c>
      <c r="AX70" s="9">
        <v>2545618.0</v>
      </c>
      <c r="AY70" s="9">
        <f>VLOOKUP(A70,'Hoja 1'!A:AX,50,0)-AX70</f>
        <v>0</v>
      </c>
    </row>
    <row r="71" ht="15.75" customHeight="1">
      <c r="A71" s="7" t="s">
        <v>381</v>
      </c>
      <c r="B71" s="7" t="s">
        <v>58</v>
      </c>
      <c r="C71" s="7" t="s">
        <v>382</v>
      </c>
      <c r="D71" s="7" t="s">
        <v>319</v>
      </c>
      <c r="E71" s="7" t="s">
        <v>383</v>
      </c>
      <c r="F71" s="7" t="s">
        <v>279</v>
      </c>
      <c r="G71" s="7" t="s">
        <v>173</v>
      </c>
      <c r="H71" s="7" t="s">
        <v>71</v>
      </c>
      <c r="I71" s="8">
        <v>30.0</v>
      </c>
      <c r="J71" s="8">
        <v>37.0</v>
      </c>
      <c r="K71" s="8">
        <v>0.0</v>
      </c>
      <c r="L71" s="8">
        <v>2501208.0</v>
      </c>
      <c r="M71" s="8">
        <v>2501208.0</v>
      </c>
      <c r="N71" s="8">
        <v>2282093.0</v>
      </c>
      <c r="O71" s="8">
        <v>219115.0</v>
      </c>
      <c r="P71" s="8">
        <v>0.0</v>
      </c>
      <c r="Q71" s="8">
        <v>0.0</v>
      </c>
      <c r="R71" s="8">
        <v>0.0</v>
      </c>
      <c r="AB71" s="8">
        <v>250000.0</v>
      </c>
      <c r="AF71" s="8">
        <v>250000.0</v>
      </c>
      <c r="AH71" s="9">
        <v>3001208.0</v>
      </c>
      <c r="AI71" s="8">
        <v>264628.0</v>
      </c>
      <c r="AJ71" s="8">
        <v>0.0</v>
      </c>
      <c r="AK71" s="8">
        <v>175085.0</v>
      </c>
      <c r="AL71" s="8">
        <v>0.0</v>
      </c>
      <c r="AM71" s="8">
        <v>15007.0</v>
      </c>
      <c r="AN71" s="8">
        <v>43169.0</v>
      </c>
      <c r="AO71" s="8">
        <v>0.0</v>
      </c>
      <c r="AV71" s="8">
        <v>20667.0</v>
      </c>
      <c r="AW71" s="9">
        <v>518556.0</v>
      </c>
      <c r="AX71" s="9">
        <v>2482652.0</v>
      </c>
      <c r="AY71" s="9">
        <f>VLOOKUP(A71,'Hoja 1'!A:AX,50,0)-AX71</f>
        <v>0</v>
      </c>
    </row>
    <row r="72" ht="15.75" customHeight="1">
      <c r="A72" s="7" t="s">
        <v>384</v>
      </c>
      <c r="B72" s="7" t="s">
        <v>58</v>
      </c>
      <c r="C72" s="7" t="s">
        <v>385</v>
      </c>
      <c r="D72" s="7" t="s">
        <v>386</v>
      </c>
      <c r="E72" s="7" t="s">
        <v>387</v>
      </c>
      <c r="F72" s="7" t="s">
        <v>388</v>
      </c>
      <c r="G72" s="7" t="s">
        <v>125</v>
      </c>
      <c r="H72" s="7" t="s">
        <v>71</v>
      </c>
      <c r="I72" s="8">
        <v>29.0</v>
      </c>
      <c r="J72" s="8">
        <v>42.0</v>
      </c>
      <c r="K72" s="8">
        <v>0.0</v>
      </c>
      <c r="L72" s="8">
        <v>3235971.0</v>
      </c>
      <c r="M72" s="8">
        <v>3235971.0</v>
      </c>
      <c r="N72" s="8">
        <v>3016856.0</v>
      </c>
      <c r="O72" s="8">
        <v>219115.0</v>
      </c>
      <c r="P72" s="8">
        <v>0.0</v>
      </c>
      <c r="Q72" s="8">
        <v>0.0</v>
      </c>
      <c r="R72" s="8">
        <v>0.0</v>
      </c>
      <c r="AH72" s="9">
        <v>3235971.0</v>
      </c>
      <c r="AI72" s="8">
        <v>364694.0</v>
      </c>
      <c r="AJ72" s="8">
        <v>0.0</v>
      </c>
      <c r="AK72" s="8">
        <v>226518.0</v>
      </c>
      <c r="AL72" s="8">
        <v>0.0</v>
      </c>
      <c r="AM72" s="8">
        <v>19416.0</v>
      </c>
      <c r="AN72" s="8">
        <v>85358.0</v>
      </c>
      <c r="AO72" s="8">
        <v>0.0</v>
      </c>
      <c r="AW72" s="9">
        <v>695986.0</v>
      </c>
      <c r="AX72" s="9">
        <v>2539985.0</v>
      </c>
      <c r="AY72" s="9">
        <f>VLOOKUP(A72,'Hoja 1'!A:AX,50,0)-AX72</f>
        <v>0</v>
      </c>
    </row>
    <row r="73" ht="15.75" customHeight="1">
      <c r="A73" s="7" t="s">
        <v>389</v>
      </c>
      <c r="B73" s="7" t="s">
        <v>58</v>
      </c>
      <c r="C73" s="7" t="s">
        <v>390</v>
      </c>
      <c r="D73" s="7" t="s">
        <v>391</v>
      </c>
      <c r="E73" s="7" t="s">
        <v>392</v>
      </c>
      <c r="F73" s="7" t="s">
        <v>393</v>
      </c>
      <c r="G73" s="7" t="s">
        <v>173</v>
      </c>
      <c r="H73" s="7" t="s">
        <v>71</v>
      </c>
      <c r="I73" s="8">
        <v>30.0</v>
      </c>
      <c r="J73" s="8">
        <v>36.0</v>
      </c>
      <c r="K73" s="8">
        <v>0.0</v>
      </c>
      <c r="L73" s="8">
        <v>2399470.0</v>
      </c>
      <c r="M73" s="8">
        <v>2399470.0</v>
      </c>
      <c r="N73" s="8">
        <v>2180355.0</v>
      </c>
      <c r="O73" s="8">
        <v>219115.0</v>
      </c>
      <c r="P73" s="8">
        <v>0.0</v>
      </c>
      <c r="Q73" s="8">
        <v>0.0</v>
      </c>
      <c r="R73" s="8">
        <v>0.0</v>
      </c>
      <c r="AB73" s="8">
        <v>240000.0</v>
      </c>
      <c r="AF73" s="8">
        <v>240000.0</v>
      </c>
      <c r="AH73" s="9">
        <v>2879470.0</v>
      </c>
      <c r="AI73" s="8">
        <v>274499.0</v>
      </c>
      <c r="AJ73" s="8">
        <v>0.0</v>
      </c>
      <c r="AK73" s="8">
        <v>167963.0</v>
      </c>
      <c r="AL73" s="8">
        <v>0.0</v>
      </c>
      <c r="AM73" s="8">
        <v>0.0</v>
      </c>
      <c r="AN73" s="8">
        <v>39590.0</v>
      </c>
      <c r="AO73" s="8">
        <v>0.0</v>
      </c>
      <c r="AP73" s="8">
        <v>250000.0</v>
      </c>
      <c r="AW73" s="9">
        <v>732052.0</v>
      </c>
      <c r="AX73" s="9">
        <v>2147418.0</v>
      </c>
      <c r="AY73" s="9">
        <f>VLOOKUP(A73,'Hoja 1'!A:AX,50,0)-AX73</f>
        <v>250000</v>
      </c>
    </row>
    <row r="74" ht="15.75" customHeight="1">
      <c r="A74" s="7" t="s">
        <v>394</v>
      </c>
      <c r="B74" s="7" t="s">
        <v>58</v>
      </c>
      <c r="C74" s="7" t="s">
        <v>395</v>
      </c>
      <c r="D74" s="7" t="s">
        <v>396</v>
      </c>
      <c r="E74" s="7" t="s">
        <v>397</v>
      </c>
      <c r="F74" s="7" t="s">
        <v>398</v>
      </c>
      <c r="G74" s="7" t="s">
        <v>131</v>
      </c>
      <c r="H74" s="7" t="s">
        <v>71</v>
      </c>
      <c r="I74" s="8">
        <v>30.0</v>
      </c>
      <c r="J74" s="8">
        <v>40.0</v>
      </c>
      <c r="K74" s="8">
        <v>0.0</v>
      </c>
      <c r="L74" s="8">
        <v>3198955.0</v>
      </c>
      <c r="M74" s="8">
        <v>3198955.0</v>
      </c>
      <c r="N74" s="8">
        <v>2979840.0</v>
      </c>
      <c r="O74" s="8">
        <v>219115.0</v>
      </c>
      <c r="P74" s="8">
        <v>0.0</v>
      </c>
      <c r="Q74" s="8">
        <v>0.0</v>
      </c>
      <c r="R74" s="8">
        <v>0.0</v>
      </c>
      <c r="AH74" s="9">
        <v>3198955.0</v>
      </c>
      <c r="AI74" s="8">
        <v>365960.0</v>
      </c>
      <c r="AJ74" s="8">
        <v>0.0</v>
      </c>
      <c r="AK74" s="8">
        <v>223927.0</v>
      </c>
      <c r="AL74" s="8">
        <v>0.0</v>
      </c>
      <c r="AM74" s="8">
        <v>19194.0</v>
      </c>
      <c r="AN74" s="8">
        <v>82521.0</v>
      </c>
      <c r="AO74" s="8">
        <v>0.0</v>
      </c>
      <c r="AS74" s="8">
        <v>533720.0</v>
      </c>
      <c r="AW74" s="9">
        <v>1225322.0</v>
      </c>
      <c r="AX74" s="9">
        <v>1973633.0</v>
      </c>
      <c r="AY74" s="9">
        <f>VLOOKUP(A74,'Hoja 1'!A:AX,50,0)-AX74</f>
        <v>0</v>
      </c>
    </row>
    <row r="75" ht="15.75" customHeight="1">
      <c r="AH75" s="2"/>
      <c r="AW75" s="2"/>
      <c r="AX75" s="2"/>
      <c r="AY75" s="2"/>
    </row>
    <row r="76" ht="15.75" customHeight="1">
      <c r="AH76" s="2"/>
      <c r="AW76" s="2"/>
      <c r="AX76" s="9">
        <f>SUM(AX7:AX74)</f>
        <v>165417013</v>
      </c>
      <c r="AY76" s="2"/>
    </row>
    <row r="77" ht="15.75" customHeight="1">
      <c r="AH77" s="2"/>
      <c r="AW77" s="2"/>
      <c r="AX77" s="2"/>
      <c r="AY77" s="2"/>
    </row>
    <row r="78" ht="15.75" customHeight="1">
      <c r="AH78" s="2"/>
      <c r="AW78" s="2"/>
      <c r="AX78" s="2"/>
      <c r="AY78" s="2"/>
    </row>
    <row r="79" ht="15.75" customHeight="1">
      <c r="AH79" s="2"/>
      <c r="AW79" s="2"/>
      <c r="AX79" s="2"/>
      <c r="AY79" s="2"/>
    </row>
    <row r="80" ht="15.75" customHeight="1">
      <c r="AH80" s="2"/>
      <c r="AW80" s="2"/>
      <c r="AX80" s="2"/>
      <c r="AY80" s="2"/>
    </row>
    <row r="81" ht="15.75" customHeight="1">
      <c r="AH81" s="2"/>
      <c r="AW81" s="2"/>
      <c r="AX81" s="2"/>
      <c r="AY81" s="2"/>
    </row>
    <row r="82" ht="15.75" customHeight="1">
      <c r="AH82" s="2"/>
      <c r="AW82" s="2"/>
      <c r="AX82" s="2"/>
      <c r="AY82" s="2"/>
    </row>
    <row r="83" ht="15.75" customHeight="1">
      <c r="AH83" s="2"/>
      <c r="AW83" s="2"/>
      <c r="AX83" s="2"/>
      <c r="AY83" s="2"/>
    </row>
    <row r="84" ht="15.75" customHeight="1">
      <c r="AH84" s="2"/>
      <c r="AW84" s="2"/>
      <c r="AX84" s="2"/>
      <c r="AY84" s="2"/>
    </row>
    <row r="85" ht="15.75" customHeight="1">
      <c r="AH85" s="2"/>
      <c r="AW85" s="2"/>
      <c r="AX85" s="2"/>
      <c r="AY85" s="2"/>
    </row>
    <row r="86" ht="15.75" customHeight="1">
      <c r="AH86" s="2"/>
      <c r="AW86" s="2"/>
      <c r="AX86" s="2"/>
      <c r="AY86" s="2"/>
    </row>
    <row r="87" ht="15.75" customHeight="1">
      <c r="AH87" s="2"/>
      <c r="AW87" s="2"/>
      <c r="AX87" s="2"/>
      <c r="AY87" s="2"/>
    </row>
    <row r="88" ht="15.75" customHeight="1">
      <c r="AH88" s="2"/>
      <c r="AW88" s="2"/>
      <c r="AX88" s="2"/>
      <c r="AY88" s="2"/>
    </row>
    <row r="89" ht="15.75" customHeight="1">
      <c r="AH89" s="2"/>
      <c r="AW89" s="2"/>
      <c r="AX89" s="2"/>
      <c r="AY89" s="2"/>
    </row>
    <row r="90" ht="15.75" customHeight="1">
      <c r="AH90" s="2"/>
      <c r="AW90" s="2"/>
      <c r="AX90" s="2"/>
      <c r="AY90" s="2"/>
    </row>
    <row r="91" ht="15.75" customHeight="1">
      <c r="AH91" s="2"/>
      <c r="AW91" s="2"/>
      <c r="AX91" s="2"/>
      <c r="AY91" s="2"/>
    </row>
    <row r="92" ht="15.75" customHeight="1">
      <c r="AH92" s="2"/>
      <c r="AW92" s="2"/>
      <c r="AX92" s="2"/>
      <c r="AY92" s="2"/>
    </row>
    <row r="93" ht="15.75" customHeight="1">
      <c r="AH93" s="2"/>
      <c r="AW93" s="2"/>
      <c r="AX93" s="2"/>
      <c r="AY93" s="2"/>
    </row>
    <row r="94" ht="15.75" customHeight="1">
      <c r="AH94" s="2"/>
      <c r="AW94" s="2"/>
      <c r="AX94" s="2"/>
      <c r="AY94" s="2"/>
    </row>
    <row r="95" ht="15.75" customHeight="1">
      <c r="AH95" s="2"/>
      <c r="AW95" s="2"/>
      <c r="AX95" s="2"/>
      <c r="AY95" s="2"/>
    </row>
    <row r="96" ht="15.75" customHeight="1">
      <c r="AH96" s="2"/>
      <c r="AW96" s="2"/>
      <c r="AX96" s="2"/>
      <c r="AY96" s="2"/>
    </row>
    <row r="97" ht="15.75" customHeight="1">
      <c r="AH97" s="2"/>
      <c r="AW97" s="2"/>
      <c r="AX97" s="2"/>
      <c r="AY97" s="2"/>
    </row>
    <row r="98" ht="15.75" customHeight="1">
      <c r="AH98" s="2"/>
      <c r="AW98" s="2"/>
      <c r="AX98" s="2"/>
      <c r="AY98" s="2"/>
    </row>
    <row r="99" ht="15.75" customHeight="1">
      <c r="AH99" s="2"/>
      <c r="AW99" s="2"/>
      <c r="AX99" s="2"/>
      <c r="AY99" s="2"/>
    </row>
    <row r="100" ht="15.75" customHeight="1">
      <c r="AH100" s="2"/>
      <c r="AW100" s="2"/>
      <c r="AX100" s="2"/>
      <c r="AY100" s="2"/>
    </row>
    <row r="101" ht="15.75" customHeight="1">
      <c r="AH101" s="2"/>
      <c r="AW101" s="2"/>
      <c r="AX101" s="2"/>
      <c r="AY101" s="2"/>
    </row>
    <row r="102" ht="15.75" customHeight="1">
      <c r="AH102" s="2"/>
      <c r="AW102" s="2"/>
      <c r="AX102" s="2"/>
      <c r="AY102" s="2"/>
    </row>
    <row r="103" ht="15.75" customHeight="1">
      <c r="AH103" s="2"/>
      <c r="AW103" s="2"/>
      <c r="AX103" s="2"/>
      <c r="AY103" s="2"/>
    </row>
    <row r="104" ht="15.75" customHeight="1">
      <c r="AH104" s="2"/>
      <c r="AW104" s="2"/>
      <c r="AX104" s="2"/>
      <c r="AY104" s="2"/>
    </row>
    <row r="105" ht="15.75" customHeight="1">
      <c r="AH105" s="2"/>
      <c r="AW105" s="2"/>
      <c r="AX105" s="2"/>
      <c r="AY105" s="2"/>
    </row>
    <row r="106" ht="15.75" customHeight="1">
      <c r="AH106" s="2"/>
      <c r="AW106" s="2"/>
      <c r="AX106" s="2"/>
      <c r="AY106" s="2"/>
    </row>
    <row r="107" ht="15.75" customHeight="1">
      <c r="AH107" s="2"/>
      <c r="AW107" s="2"/>
      <c r="AX107" s="2"/>
      <c r="AY107" s="2"/>
    </row>
    <row r="108" ht="15.75" customHeight="1">
      <c r="AH108" s="2"/>
      <c r="AW108" s="2"/>
      <c r="AX108" s="2"/>
      <c r="AY108" s="2"/>
    </row>
    <row r="109" ht="15.75" customHeight="1">
      <c r="AH109" s="2"/>
      <c r="AW109" s="2"/>
      <c r="AX109" s="2"/>
      <c r="AY109" s="2"/>
    </row>
    <row r="110" ht="15.75" customHeight="1">
      <c r="AH110" s="2"/>
      <c r="AW110" s="2"/>
      <c r="AX110" s="2"/>
      <c r="AY110" s="2"/>
    </row>
    <row r="111" ht="15.75" customHeight="1">
      <c r="AH111" s="2"/>
      <c r="AW111" s="2"/>
      <c r="AX111" s="2"/>
      <c r="AY111" s="2"/>
    </row>
    <row r="112" ht="15.75" customHeight="1">
      <c r="AH112" s="2"/>
      <c r="AW112" s="2"/>
      <c r="AX112" s="2"/>
      <c r="AY112" s="2"/>
    </row>
    <row r="113" ht="15.75" customHeight="1">
      <c r="AH113" s="2"/>
      <c r="AW113" s="2"/>
      <c r="AX113" s="2"/>
      <c r="AY113" s="2"/>
    </row>
    <row r="114" ht="15.75" customHeight="1">
      <c r="AH114" s="2"/>
      <c r="AW114" s="2"/>
      <c r="AX114" s="2"/>
      <c r="AY114" s="2"/>
    </row>
    <row r="115" ht="15.75" customHeight="1">
      <c r="AH115" s="2"/>
      <c r="AW115" s="2"/>
      <c r="AX115" s="2"/>
      <c r="AY115" s="2"/>
    </row>
    <row r="116" ht="15.75" customHeight="1">
      <c r="AH116" s="2"/>
      <c r="AW116" s="2"/>
      <c r="AX116" s="2"/>
      <c r="AY116" s="2"/>
    </row>
    <row r="117" ht="15.75" customHeight="1">
      <c r="AH117" s="2"/>
      <c r="AW117" s="2"/>
      <c r="AX117" s="2"/>
      <c r="AY117" s="2"/>
    </row>
    <row r="118" ht="15.75" customHeight="1">
      <c r="AH118" s="2"/>
      <c r="AW118" s="2"/>
      <c r="AX118" s="2"/>
      <c r="AY118" s="2"/>
    </row>
    <row r="119" ht="15.75" customHeight="1">
      <c r="AH119" s="2"/>
      <c r="AW119" s="2"/>
      <c r="AX119" s="2"/>
      <c r="AY119" s="2"/>
    </row>
    <row r="120" ht="15.75" customHeight="1">
      <c r="AH120" s="2"/>
      <c r="AW120" s="2"/>
      <c r="AX120" s="2"/>
      <c r="AY120" s="2"/>
    </row>
    <row r="121" ht="15.75" customHeight="1">
      <c r="AH121" s="2"/>
      <c r="AW121" s="2"/>
      <c r="AX121" s="2"/>
      <c r="AY121" s="2"/>
    </row>
    <row r="122" ht="15.75" customHeight="1">
      <c r="AH122" s="2"/>
      <c r="AW122" s="2"/>
      <c r="AX122" s="2"/>
      <c r="AY122" s="2"/>
    </row>
    <row r="123" ht="15.75" customHeight="1">
      <c r="AH123" s="2"/>
      <c r="AW123" s="2"/>
      <c r="AX123" s="2"/>
      <c r="AY123" s="2"/>
    </row>
    <row r="124" ht="15.75" customHeight="1">
      <c r="AH124" s="2"/>
      <c r="AW124" s="2"/>
      <c r="AX124" s="2"/>
      <c r="AY124" s="2"/>
    </row>
    <row r="125" ht="15.75" customHeight="1">
      <c r="AH125" s="2"/>
      <c r="AW125" s="2"/>
      <c r="AX125" s="2"/>
      <c r="AY125" s="2"/>
    </row>
    <row r="126" ht="15.75" customHeight="1">
      <c r="AH126" s="2"/>
      <c r="AW126" s="2"/>
      <c r="AX126" s="2"/>
      <c r="AY126" s="2"/>
    </row>
    <row r="127" ht="15.75" customHeight="1">
      <c r="AH127" s="2"/>
      <c r="AW127" s="2"/>
      <c r="AX127" s="2"/>
      <c r="AY127" s="2"/>
    </row>
    <row r="128" ht="15.75" customHeight="1">
      <c r="AH128" s="2"/>
      <c r="AW128" s="2"/>
      <c r="AX128" s="2"/>
      <c r="AY128" s="2"/>
    </row>
    <row r="129" ht="15.75" customHeight="1">
      <c r="AH129" s="2"/>
      <c r="AW129" s="2"/>
      <c r="AX129" s="2"/>
      <c r="AY129" s="2"/>
    </row>
    <row r="130" ht="15.75" customHeight="1">
      <c r="AH130" s="2"/>
      <c r="AW130" s="2"/>
      <c r="AX130" s="2"/>
      <c r="AY130" s="2"/>
    </row>
    <row r="131" ht="15.75" customHeight="1">
      <c r="AH131" s="2"/>
      <c r="AW131" s="2"/>
      <c r="AX131" s="2"/>
      <c r="AY131" s="2"/>
    </row>
    <row r="132" ht="15.75" customHeight="1">
      <c r="AH132" s="2"/>
      <c r="AW132" s="2"/>
      <c r="AX132" s="2"/>
      <c r="AY132" s="2"/>
    </row>
    <row r="133" ht="15.75" customHeight="1">
      <c r="AH133" s="2"/>
      <c r="AW133" s="2"/>
      <c r="AX133" s="2"/>
      <c r="AY133" s="2"/>
    </row>
    <row r="134" ht="15.75" customHeight="1">
      <c r="AH134" s="2"/>
      <c r="AW134" s="2"/>
      <c r="AX134" s="2"/>
      <c r="AY134" s="2"/>
    </row>
    <row r="135" ht="15.75" customHeight="1">
      <c r="AH135" s="2"/>
      <c r="AW135" s="2"/>
      <c r="AX135" s="2"/>
      <c r="AY135" s="2"/>
    </row>
    <row r="136" ht="15.75" customHeight="1">
      <c r="AH136" s="2"/>
      <c r="AW136" s="2"/>
      <c r="AX136" s="2"/>
      <c r="AY136" s="2"/>
    </row>
    <row r="137" ht="15.75" customHeight="1">
      <c r="AH137" s="2"/>
      <c r="AW137" s="2"/>
      <c r="AX137" s="2"/>
      <c r="AY137" s="2"/>
    </row>
    <row r="138" ht="15.75" customHeight="1">
      <c r="AH138" s="2"/>
      <c r="AW138" s="2"/>
      <c r="AX138" s="2"/>
      <c r="AY138" s="2"/>
    </row>
    <row r="139" ht="15.75" customHeight="1">
      <c r="AH139" s="2"/>
      <c r="AW139" s="2"/>
      <c r="AX139" s="2"/>
      <c r="AY139" s="2"/>
    </row>
    <row r="140" ht="15.75" customHeight="1">
      <c r="AH140" s="2"/>
      <c r="AW140" s="2"/>
      <c r="AX140" s="2"/>
      <c r="AY140" s="2"/>
    </row>
    <row r="141" ht="15.75" customHeight="1">
      <c r="AH141" s="2"/>
      <c r="AW141" s="2"/>
      <c r="AX141" s="2"/>
      <c r="AY141" s="2"/>
    </row>
    <row r="142" ht="15.75" customHeight="1">
      <c r="AH142" s="2"/>
      <c r="AW142" s="2"/>
      <c r="AX142" s="2"/>
      <c r="AY142" s="2"/>
    </row>
    <row r="143" ht="15.75" customHeight="1">
      <c r="AH143" s="2"/>
      <c r="AW143" s="2"/>
      <c r="AX143" s="2"/>
      <c r="AY143" s="2"/>
    </row>
    <row r="144" ht="15.75" customHeight="1">
      <c r="AH144" s="2"/>
      <c r="AW144" s="2"/>
      <c r="AX144" s="2"/>
      <c r="AY144" s="2"/>
    </row>
    <row r="145" ht="15.75" customHeight="1">
      <c r="AH145" s="2"/>
      <c r="AW145" s="2"/>
      <c r="AX145" s="2"/>
      <c r="AY145" s="2"/>
    </row>
    <row r="146" ht="15.75" customHeight="1">
      <c r="AH146" s="2"/>
      <c r="AW146" s="2"/>
      <c r="AX146" s="2"/>
      <c r="AY146" s="2"/>
    </row>
    <row r="147" ht="15.75" customHeight="1">
      <c r="AH147" s="2"/>
      <c r="AW147" s="2"/>
      <c r="AX147" s="2"/>
      <c r="AY147" s="2"/>
    </row>
    <row r="148" ht="15.75" customHeight="1">
      <c r="AH148" s="2"/>
      <c r="AW148" s="2"/>
      <c r="AX148" s="2"/>
      <c r="AY148" s="2"/>
    </row>
    <row r="149" ht="15.75" customHeight="1">
      <c r="AH149" s="2"/>
      <c r="AW149" s="2"/>
      <c r="AX149" s="2"/>
      <c r="AY149" s="2"/>
    </row>
    <row r="150" ht="15.75" customHeight="1">
      <c r="AH150" s="2"/>
      <c r="AW150" s="2"/>
      <c r="AX150" s="2"/>
      <c r="AY150" s="2"/>
    </row>
    <row r="151" ht="15.75" customHeight="1">
      <c r="AH151" s="2"/>
      <c r="AW151" s="2"/>
      <c r="AX151" s="2"/>
      <c r="AY151" s="2"/>
    </row>
    <row r="152" ht="15.75" customHeight="1">
      <c r="AH152" s="2"/>
      <c r="AW152" s="2"/>
      <c r="AX152" s="2"/>
      <c r="AY152" s="2"/>
    </row>
    <row r="153" ht="15.75" customHeight="1">
      <c r="AH153" s="2"/>
      <c r="AW153" s="2"/>
      <c r="AX153" s="2"/>
      <c r="AY153" s="2"/>
    </row>
    <row r="154" ht="15.75" customHeight="1">
      <c r="AH154" s="2"/>
      <c r="AW154" s="2"/>
      <c r="AX154" s="2"/>
      <c r="AY154" s="2"/>
    </row>
    <row r="155" ht="15.75" customHeight="1">
      <c r="AH155" s="2"/>
      <c r="AW155" s="2"/>
      <c r="AX155" s="2"/>
      <c r="AY155" s="2"/>
    </row>
    <row r="156" ht="15.75" customHeight="1">
      <c r="AH156" s="2"/>
      <c r="AW156" s="2"/>
      <c r="AX156" s="2"/>
      <c r="AY156" s="2"/>
    </row>
    <row r="157" ht="15.75" customHeight="1">
      <c r="AH157" s="2"/>
      <c r="AW157" s="2"/>
      <c r="AX157" s="2"/>
      <c r="AY157" s="2"/>
    </row>
    <row r="158" ht="15.75" customHeight="1">
      <c r="AH158" s="2"/>
      <c r="AW158" s="2"/>
      <c r="AX158" s="2"/>
      <c r="AY158" s="2"/>
    </row>
    <row r="159" ht="15.75" customHeight="1">
      <c r="AH159" s="2"/>
      <c r="AW159" s="2"/>
      <c r="AX159" s="2"/>
      <c r="AY159" s="2"/>
    </row>
    <row r="160" ht="15.75" customHeight="1">
      <c r="AH160" s="2"/>
      <c r="AW160" s="2"/>
      <c r="AX160" s="2"/>
      <c r="AY160" s="2"/>
    </row>
    <row r="161" ht="15.75" customHeight="1">
      <c r="AH161" s="2"/>
      <c r="AW161" s="2"/>
      <c r="AX161" s="2"/>
      <c r="AY161" s="2"/>
    </row>
    <row r="162" ht="15.75" customHeight="1">
      <c r="AH162" s="2"/>
      <c r="AW162" s="2"/>
      <c r="AX162" s="2"/>
      <c r="AY162" s="2"/>
    </row>
    <row r="163" ht="15.75" customHeight="1">
      <c r="AH163" s="2"/>
      <c r="AW163" s="2"/>
      <c r="AX163" s="2"/>
      <c r="AY163" s="2"/>
    </row>
    <row r="164" ht="15.75" customHeight="1">
      <c r="AH164" s="2"/>
      <c r="AW164" s="2"/>
      <c r="AX164" s="2"/>
      <c r="AY164" s="2"/>
    </row>
    <row r="165" ht="15.75" customHeight="1">
      <c r="AH165" s="2"/>
      <c r="AW165" s="2"/>
      <c r="AX165" s="2"/>
      <c r="AY165" s="2"/>
    </row>
    <row r="166" ht="15.75" customHeight="1">
      <c r="AH166" s="2"/>
      <c r="AW166" s="2"/>
      <c r="AX166" s="2"/>
      <c r="AY166" s="2"/>
    </row>
    <row r="167" ht="15.75" customHeight="1">
      <c r="AH167" s="2"/>
      <c r="AW167" s="2"/>
      <c r="AX167" s="2"/>
      <c r="AY167" s="2"/>
    </row>
    <row r="168" ht="15.75" customHeight="1">
      <c r="AH168" s="2"/>
      <c r="AW168" s="2"/>
      <c r="AX168" s="2"/>
      <c r="AY168" s="2"/>
    </row>
    <row r="169" ht="15.75" customHeight="1">
      <c r="AH169" s="2"/>
      <c r="AW169" s="2"/>
      <c r="AX169" s="2"/>
      <c r="AY169" s="2"/>
    </row>
    <row r="170" ht="15.75" customHeight="1">
      <c r="AH170" s="2"/>
      <c r="AW170" s="2"/>
      <c r="AX170" s="2"/>
      <c r="AY170" s="2"/>
    </row>
    <row r="171" ht="15.75" customHeight="1">
      <c r="AH171" s="2"/>
      <c r="AW171" s="2"/>
      <c r="AX171" s="2"/>
      <c r="AY171" s="2"/>
    </row>
    <row r="172" ht="15.75" customHeight="1">
      <c r="AH172" s="2"/>
      <c r="AW172" s="2"/>
      <c r="AX172" s="2"/>
      <c r="AY172" s="2"/>
    </row>
    <row r="173" ht="15.75" customHeight="1">
      <c r="AH173" s="2"/>
      <c r="AW173" s="2"/>
      <c r="AX173" s="2"/>
      <c r="AY173" s="2"/>
    </row>
    <row r="174" ht="15.75" customHeight="1">
      <c r="AH174" s="2"/>
      <c r="AW174" s="2"/>
      <c r="AX174" s="2"/>
      <c r="AY174" s="2"/>
    </row>
    <row r="175" ht="15.75" customHeight="1">
      <c r="AH175" s="2"/>
      <c r="AW175" s="2"/>
      <c r="AX175" s="2"/>
      <c r="AY175" s="2"/>
    </row>
    <row r="176" ht="15.75" customHeight="1">
      <c r="AH176" s="2"/>
      <c r="AW176" s="2"/>
      <c r="AX176" s="2"/>
      <c r="AY176" s="2"/>
    </row>
    <row r="177" ht="15.75" customHeight="1">
      <c r="AH177" s="2"/>
      <c r="AW177" s="2"/>
      <c r="AX177" s="2"/>
      <c r="AY177" s="2"/>
    </row>
    <row r="178" ht="15.75" customHeight="1">
      <c r="AH178" s="2"/>
      <c r="AW178" s="2"/>
      <c r="AX178" s="2"/>
      <c r="AY178" s="2"/>
    </row>
    <row r="179" ht="15.75" customHeight="1">
      <c r="AH179" s="2"/>
      <c r="AW179" s="2"/>
      <c r="AX179" s="2"/>
      <c r="AY179" s="2"/>
    </row>
    <row r="180" ht="15.75" customHeight="1">
      <c r="AH180" s="2"/>
      <c r="AW180" s="2"/>
      <c r="AX180" s="2"/>
      <c r="AY180" s="2"/>
    </row>
    <row r="181" ht="15.75" customHeight="1">
      <c r="AH181" s="2"/>
      <c r="AW181" s="2"/>
      <c r="AX181" s="2"/>
      <c r="AY181" s="2"/>
    </row>
    <row r="182" ht="15.75" customHeight="1">
      <c r="AH182" s="2"/>
      <c r="AW182" s="2"/>
      <c r="AX182" s="2"/>
      <c r="AY182" s="2"/>
    </row>
    <row r="183" ht="15.75" customHeight="1">
      <c r="AH183" s="2"/>
      <c r="AW183" s="2"/>
      <c r="AX183" s="2"/>
      <c r="AY183" s="2"/>
    </row>
    <row r="184" ht="15.75" customHeight="1">
      <c r="AH184" s="2"/>
      <c r="AW184" s="2"/>
      <c r="AX184" s="2"/>
      <c r="AY184" s="2"/>
    </row>
    <row r="185" ht="15.75" customHeight="1">
      <c r="AH185" s="2"/>
      <c r="AW185" s="2"/>
      <c r="AX185" s="2"/>
      <c r="AY185" s="2"/>
    </row>
    <row r="186" ht="15.75" customHeight="1">
      <c r="AH186" s="2"/>
      <c r="AW186" s="2"/>
      <c r="AX186" s="2"/>
      <c r="AY186" s="2"/>
    </row>
    <row r="187" ht="15.75" customHeight="1">
      <c r="AH187" s="2"/>
      <c r="AW187" s="2"/>
      <c r="AX187" s="2"/>
      <c r="AY187" s="2"/>
    </row>
    <row r="188" ht="15.75" customHeight="1">
      <c r="AH188" s="2"/>
      <c r="AW188" s="2"/>
      <c r="AX188" s="2"/>
      <c r="AY188" s="2"/>
    </row>
    <row r="189" ht="15.75" customHeight="1">
      <c r="AH189" s="2"/>
      <c r="AW189" s="2"/>
      <c r="AX189" s="2"/>
      <c r="AY189" s="2"/>
    </row>
    <row r="190" ht="15.75" customHeight="1">
      <c r="AH190" s="2"/>
      <c r="AW190" s="2"/>
      <c r="AX190" s="2"/>
      <c r="AY190" s="2"/>
    </row>
    <row r="191" ht="15.75" customHeight="1">
      <c r="AH191" s="2"/>
      <c r="AW191" s="2"/>
      <c r="AX191" s="2"/>
      <c r="AY191" s="2"/>
    </row>
    <row r="192" ht="15.75" customHeight="1">
      <c r="AH192" s="2"/>
      <c r="AW192" s="2"/>
      <c r="AX192" s="2"/>
      <c r="AY192" s="2"/>
    </row>
    <row r="193" ht="15.75" customHeight="1">
      <c r="AH193" s="2"/>
      <c r="AW193" s="2"/>
      <c r="AX193" s="2"/>
      <c r="AY193" s="2"/>
    </row>
    <row r="194" ht="15.75" customHeight="1">
      <c r="AH194" s="2"/>
      <c r="AW194" s="2"/>
      <c r="AX194" s="2"/>
      <c r="AY194" s="2"/>
    </row>
    <row r="195" ht="15.75" customHeight="1">
      <c r="AH195" s="2"/>
      <c r="AW195" s="2"/>
      <c r="AX195" s="2"/>
      <c r="AY195" s="2"/>
    </row>
    <row r="196" ht="15.75" customHeight="1">
      <c r="AH196" s="2"/>
      <c r="AW196" s="2"/>
      <c r="AX196" s="2"/>
      <c r="AY196" s="2"/>
    </row>
    <row r="197" ht="15.75" customHeight="1">
      <c r="AH197" s="2"/>
      <c r="AW197" s="2"/>
      <c r="AX197" s="2"/>
      <c r="AY197" s="2"/>
    </row>
    <row r="198" ht="15.75" customHeight="1">
      <c r="AH198" s="2"/>
      <c r="AW198" s="2"/>
      <c r="AX198" s="2"/>
      <c r="AY198" s="2"/>
    </row>
    <row r="199" ht="15.75" customHeight="1">
      <c r="AH199" s="2"/>
      <c r="AW199" s="2"/>
      <c r="AX199" s="2"/>
      <c r="AY199" s="2"/>
    </row>
    <row r="200" ht="15.75" customHeight="1">
      <c r="AH200" s="2"/>
      <c r="AW200" s="2"/>
      <c r="AX200" s="2"/>
      <c r="AY200" s="2"/>
    </row>
    <row r="201" ht="15.75" customHeight="1">
      <c r="AH201" s="2"/>
      <c r="AW201" s="2"/>
      <c r="AX201" s="2"/>
      <c r="AY201" s="2"/>
    </row>
    <row r="202" ht="15.75" customHeight="1">
      <c r="AH202" s="2"/>
      <c r="AW202" s="2"/>
      <c r="AX202" s="2"/>
      <c r="AY202" s="2"/>
    </row>
    <row r="203" ht="15.75" customHeight="1">
      <c r="AH203" s="2"/>
      <c r="AW203" s="2"/>
      <c r="AX203" s="2"/>
      <c r="AY203" s="2"/>
    </row>
    <row r="204" ht="15.75" customHeight="1">
      <c r="AH204" s="2"/>
      <c r="AW204" s="2"/>
      <c r="AX204" s="2"/>
      <c r="AY204" s="2"/>
    </row>
    <row r="205" ht="15.75" customHeight="1">
      <c r="AH205" s="2"/>
      <c r="AW205" s="2"/>
      <c r="AX205" s="2"/>
      <c r="AY205" s="2"/>
    </row>
    <row r="206" ht="15.75" customHeight="1">
      <c r="AH206" s="2"/>
      <c r="AW206" s="2"/>
      <c r="AX206" s="2"/>
      <c r="AY206" s="2"/>
    </row>
    <row r="207" ht="15.75" customHeight="1">
      <c r="AH207" s="2"/>
      <c r="AW207" s="2"/>
      <c r="AX207" s="2"/>
      <c r="AY207" s="2"/>
    </row>
    <row r="208" ht="15.75" customHeight="1">
      <c r="AH208" s="2"/>
      <c r="AW208" s="2"/>
      <c r="AX208" s="2"/>
      <c r="AY208" s="2"/>
    </row>
    <row r="209" ht="15.75" customHeight="1">
      <c r="AH209" s="2"/>
      <c r="AW209" s="2"/>
      <c r="AX209" s="2"/>
      <c r="AY209" s="2"/>
    </row>
    <row r="210" ht="15.75" customHeight="1">
      <c r="AH210" s="2"/>
      <c r="AW210" s="2"/>
      <c r="AX210" s="2"/>
      <c r="AY210" s="2"/>
    </row>
    <row r="211" ht="15.75" customHeight="1">
      <c r="AH211" s="2"/>
      <c r="AW211" s="2"/>
      <c r="AX211" s="2"/>
      <c r="AY211" s="2"/>
    </row>
    <row r="212" ht="15.75" customHeight="1">
      <c r="AH212" s="2"/>
      <c r="AW212" s="2"/>
      <c r="AX212" s="2"/>
      <c r="AY212" s="2"/>
    </row>
    <row r="213" ht="15.75" customHeight="1">
      <c r="AH213" s="2"/>
      <c r="AW213" s="2"/>
      <c r="AX213" s="2"/>
      <c r="AY213" s="2"/>
    </row>
    <row r="214" ht="15.75" customHeight="1">
      <c r="AH214" s="2"/>
      <c r="AW214" s="2"/>
      <c r="AX214" s="2"/>
      <c r="AY214" s="2"/>
    </row>
    <row r="215" ht="15.75" customHeight="1">
      <c r="AH215" s="2"/>
      <c r="AW215" s="2"/>
      <c r="AX215" s="2"/>
      <c r="AY215" s="2"/>
    </row>
    <row r="216" ht="15.75" customHeight="1">
      <c r="AH216" s="2"/>
      <c r="AW216" s="2"/>
      <c r="AX216" s="2"/>
      <c r="AY216" s="2"/>
    </row>
    <row r="217" ht="15.75" customHeight="1">
      <c r="AH217" s="2"/>
      <c r="AW217" s="2"/>
      <c r="AX217" s="2"/>
      <c r="AY217" s="2"/>
    </row>
    <row r="218" ht="15.75" customHeight="1">
      <c r="AH218" s="2"/>
      <c r="AW218" s="2"/>
      <c r="AX218" s="2"/>
      <c r="AY218" s="2"/>
    </row>
    <row r="219" ht="15.75" customHeight="1">
      <c r="AH219" s="2"/>
      <c r="AW219" s="2"/>
      <c r="AX219" s="2"/>
      <c r="AY219" s="2"/>
    </row>
    <row r="220" ht="15.75" customHeight="1">
      <c r="AH220" s="2"/>
      <c r="AW220" s="2"/>
      <c r="AX220" s="2"/>
      <c r="AY220" s="2"/>
    </row>
    <row r="221" ht="15.75" customHeight="1">
      <c r="AH221" s="2"/>
      <c r="AW221" s="2"/>
      <c r="AX221" s="2"/>
      <c r="AY221" s="2"/>
    </row>
    <row r="222" ht="15.75" customHeight="1">
      <c r="AH222" s="2"/>
      <c r="AW222" s="2"/>
      <c r="AX222" s="2"/>
      <c r="AY222" s="2"/>
    </row>
    <row r="223" ht="15.75" customHeight="1">
      <c r="AH223" s="2"/>
      <c r="AW223" s="2"/>
      <c r="AX223" s="2"/>
      <c r="AY223" s="2"/>
    </row>
    <row r="224" ht="15.75" customHeight="1">
      <c r="AH224" s="2"/>
      <c r="AW224" s="2"/>
      <c r="AX224" s="2"/>
      <c r="AY224" s="2"/>
    </row>
    <row r="225" ht="15.75" customHeight="1">
      <c r="AH225" s="2"/>
      <c r="AW225" s="2"/>
      <c r="AX225" s="2"/>
      <c r="AY225" s="2"/>
    </row>
    <row r="226" ht="15.75" customHeight="1">
      <c r="AH226" s="2"/>
      <c r="AW226" s="2"/>
      <c r="AX226" s="2"/>
      <c r="AY226" s="2"/>
    </row>
    <row r="227" ht="15.75" customHeight="1">
      <c r="AH227" s="2"/>
      <c r="AW227" s="2"/>
      <c r="AX227" s="2"/>
      <c r="AY227" s="2"/>
    </row>
    <row r="228" ht="15.75" customHeight="1">
      <c r="AH228" s="2"/>
      <c r="AW228" s="2"/>
      <c r="AX228" s="2"/>
      <c r="AY228" s="2"/>
    </row>
    <row r="229" ht="15.75" customHeight="1">
      <c r="AH229" s="2"/>
      <c r="AW229" s="2"/>
      <c r="AX229" s="2"/>
      <c r="AY229" s="2"/>
    </row>
    <row r="230" ht="15.75" customHeight="1">
      <c r="AH230" s="2"/>
      <c r="AW230" s="2"/>
      <c r="AX230" s="2"/>
      <c r="AY230" s="2"/>
    </row>
    <row r="231" ht="15.75" customHeight="1">
      <c r="AH231" s="2"/>
      <c r="AW231" s="2"/>
      <c r="AX231" s="2"/>
      <c r="AY231" s="2"/>
    </row>
    <row r="232" ht="15.75" customHeight="1">
      <c r="AH232" s="2"/>
      <c r="AW232" s="2"/>
      <c r="AX232" s="2"/>
      <c r="AY232" s="2"/>
    </row>
    <row r="233" ht="15.75" customHeight="1">
      <c r="AH233" s="2"/>
      <c r="AW233" s="2"/>
      <c r="AX233" s="2"/>
      <c r="AY233" s="2"/>
    </row>
    <row r="234" ht="15.75" customHeight="1">
      <c r="AH234" s="2"/>
      <c r="AW234" s="2"/>
      <c r="AX234" s="2"/>
      <c r="AY234" s="2"/>
    </row>
    <row r="235" ht="15.75" customHeight="1">
      <c r="AH235" s="2"/>
      <c r="AW235" s="2"/>
      <c r="AX235" s="2"/>
      <c r="AY235" s="2"/>
    </row>
    <row r="236" ht="15.75" customHeight="1">
      <c r="AH236" s="2"/>
      <c r="AW236" s="2"/>
      <c r="AX236" s="2"/>
      <c r="AY236" s="2"/>
    </row>
    <row r="237" ht="15.75" customHeight="1">
      <c r="AH237" s="2"/>
      <c r="AW237" s="2"/>
      <c r="AX237" s="2"/>
      <c r="AY237" s="2"/>
    </row>
    <row r="238" ht="15.75" customHeight="1">
      <c r="AH238" s="2"/>
      <c r="AW238" s="2"/>
      <c r="AX238" s="2"/>
      <c r="AY238" s="2"/>
    </row>
    <row r="239" ht="15.75" customHeight="1">
      <c r="AH239" s="2"/>
      <c r="AW239" s="2"/>
      <c r="AX239" s="2"/>
      <c r="AY239" s="2"/>
    </row>
    <row r="240" ht="15.75" customHeight="1">
      <c r="AH240" s="2"/>
      <c r="AW240" s="2"/>
      <c r="AX240" s="2"/>
      <c r="AY240" s="2"/>
    </row>
    <row r="241" ht="15.75" customHeight="1">
      <c r="AH241" s="2"/>
      <c r="AW241" s="2"/>
      <c r="AX241" s="2"/>
      <c r="AY241" s="2"/>
    </row>
    <row r="242" ht="15.75" customHeight="1">
      <c r="AH242" s="2"/>
      <c r="AW242" s="2"/>
      <c r="AX242" s="2"/>
      <c r="AY242" s="2"/>
    </row>
    <row r="243" ht="15.75" customHeight="1">
      <c r="AH243" s="2"/>
      <c r="AW243" s="2"/>
      <c r="AX243" s="2"/>
      <c r="AY243" s="2"/>
    </row>
    <row r="244" ht="15.75" customHeight="1">
      <c r="AH244" s="2"/>
      <c r="AW244" s="2"/>
      <c r="AX244" s="2"/>
      <c r="AY244" s="2"/>
    </row>
    <row r="245" ht="15.75" customHeight="1">
      <c r="AH245" s="2"/>
      <c r="AW245" s="2"/>
      <c r="AX245" s="2"/>
      <c r="AY245" s="2"/>
    </row>
    <row r="246" ht="15.75" customHeight="1">
      <c r="AH246" s="2"/>
      <c r="AW246" s="2"/>
      <c r="AX246" s="2"/>
      <c r="AY246" s="2"/>
    </row>
    <row r="247" ht="15.75" customHeight="1">
      <c r="AH247" s="2"/>
      <c r="AW247" s="2"/>
      <c r="AX247" s="2"/>
      <c r="AY247" s="2"/>
    </row>
    <row r="248" ht="15.75" customHeight="1">
      <c r="AH248" s="2"/>
      <c r="AW248" s="2"/>
      <c r="AX248" s="2"/>
      <c r="AY248" s="2"/>
    </row>
    <row r="249" ht="15.75" customHeight="1">
      <c r="AH249" s="2"/>
      <c r="AW249" s="2"/>
      <c r="AX249" s="2"/>
      <c r="AY249" s="2"/>
    </row>
    <row r="250" ht="15.75" customHeight="1">
      <c r="AH250" s="2"/>
      <c r="AW250" s="2"/>
      <c r="AX250" s="2"/>
      <c r="AY250" s="2"/>
    </row>
    <row r="251" ht="15.75" customHeight="1">
      <c r="AH251" s="2"/>
      <c r="AW251" s="2"/>
      <c r="AX251" s="2"/>
      <c r="AY251" s="2"/>
    </row>
    <row r="252" ht="15.75" customHeight="1">
      <c r="AH252" s="2"/>
      <c r="AW252" s="2"/>
      <c r="AX252" s="2"/>
      <c r="AY252" s="2"/>
    </row>
    <row r="253" ht="15.75" customHeight="1">
      <c r="AH253" s="2"/>
      <c r="AW253" s="2"/>
      <c r="AX253" s="2"/>
      <c r="AY253" s="2"/>
    </row>
    <row r="254" ht="15.75" customHeight="1">
      <c r="AH254" s="2"/>
      <c r="AW254" s="2"/>
      <c r="AX254" s="2"/>
      <c r="AY254" s="2"/>
    </row>
    <row r="255" ht="15.75" customHeight="1">
      <c r="AH255" s="2"/>
      <c r="AW255" s="2"/>
      <c r="AX255" s="2"/>
      <c r="AY255" s="2"/>
    </row>
    <row r="256" ht="15.75" customHeight="1">
      <c r="AH256" s="2"/>
      <c r="AW256" s="2"/>
      <c r="AX256" s="2"/>
      <c r="AY256" s="2"/>
    </row>
    <row r="257" ht="15.75" customHeight="1">
      <c r="AH257" s="2"/>
      <c r="AW257" s="2"/>
      <c r="AX257" s="2"/>
      <c r="AY257" s="2"/>
    </row>
    <row r="258" ht="15.75" customHeight="1">
      <c r="AH258" s="2"/>
      <c r="AW258" s="2"/>
      <c r="AX258" s="2"/>
      <c r="AY258" s="2"/>
    </row>
    <row r="259" ht="15.75" customHeight="1">
      <c r="AH259" s="2"/>
      <c r="AW259" s="2"/>
      <c r="AX259" s="2"/>
      <c r="AY259" s="2"/>
    </row>
    <row r="260" ht="15.75" customHeight="1">
      <c r="AH260" s="2"/>
      <c r="AW260" s="2"/>
      <c r="AX260" s="2"/>
      <c r="AY260" s="2"/>
    </row>
    <row r="261" ht="15.75" customHeight="1">
      <c r="AH261" s="2"/>
      <c r="AW261" s="2"/>
      <c r="AX261" s="2"/>
      <c r="AY261" s="2"/>
    </row>
    <row r="262" ht="15.75" customHeight="1">
      <c r="AH262" s="2"/>
      <c r="AW262" s="2"/>
      <c r="AX262" s="2"/>
      <c r="AY262" s="2"/>
    </row>
    <row r="263" ht="15.75" customHeight="1">
      <c r="AH263" s="2"/>
      <c r="AW263" s="2"/>
      <c r="AX263" s="2"/>
      <c r="AY263" s="2"/>
    </row>
    <row r="264" ht="15.75" customHeight="1">
      <c r="AH264" s="2"/>
      <c r="AW264" s="2"/>
      <c r="AX264" s="2"/>
      <c r="AY264" s="2"/>
    </row>
    <row r="265" ht="15.75" customHeight="1">
      <c r="AH265" s="2"/>
      <c r="AW265" s="2"/>
      <c r="AX265" s="2"/>
      <c r="AY265" s="2"/>
    </row>
    <row r="266" ht="15.75" customHeight="1">
      <c r="AH266" s="2"/>
      <c r="AW266" s="2"/>
      <c r="AX266" s="2"/>
      <c r="AY266" s="2"/>
    </row>
    <row r="267" ht="15.75" customHeight="1">
      <c r="AH267" s="2"/>
      <c r="AW267" s="2"/>
      <c r="AX267" s="2"/>
      <c r="AY267" s="2"/>
    </row>
    <row r="268" ht="15.75" customHeight="1">
      <c r="AH268" s="2"/>
      <c r="AW268" s="2"/>
      <c r="AX268" s="2"/>
      <c r="AY268" s="2"/>
    </row>
    <row r="269" ht="15.75" customHeight="1">
      <c r="AH269" s="2"/>
      <c r="AW269" s="2"/>
      <c r="AX269" s="2"/>
      <c r="AY269" s="2"/>
    </row>
    <row r="270" ht="15.75" customHeight="1">
      <c r="AH270" s="2"/>
      <c r="AW270" s="2"/>
      <c r="AX270" s="2"/>
      <c r="AY270" s="2"/>
    </row>
    <row r="271" ht="15.75" customHeight="1">
      <c r="AH271" s="2"/>
      <c r="AW271" s="2"/>
      <c r="AX271" s="2"/>
      <c r="AY271" s="2"/>
    </row>
    <row r="272" ht="15.75" customHeight="1">
      <c r="AH272" s="2"/>
      <c r="AW272" s="2"/>
      <c r="AX272" s="2"/>
      <c r="AY272" s="2"/>
    </row>
    <row r="273" ht="15.75" customHeight="1">
      <c r="AH273" s="2"/>
      <c r="AW273" s="2"/>
      <c r="AX273" s="2"/>
      <c r="AY273" s="2"/>
    </row>
    <row r="274" ht="15.75" customHeight="1">
      <c r="AH274" s="2"/>
      <c r="AW274" s="2"/>
      <c r="AX274" s="2"/>
      <c r="AY274" s="2"/>
    </row>
    <row r="275" ht="15.75" customHeight="1">
      <c r="AH275" s="2"/>
      <c r="AW275" s="2"/>
      <c r="AX275" s="2"/>
      <c r="AY275" s="2"/>
    </row>
    <row r="276" ht="15.75" customHeight="1">
      <c r="AH276" s="2"/>
      <c r="AW276" s="2"/>
      <c r="AX276" s="2"/>
      <c r="AY276" s="2"/>
    </row>
    <row r="277" ht="15.75" customHeight="1">
      <c r="AH277" s="2"/>
      <c r="AW277" s="2"/>
      <c r="AX277" s="2"/>
      <c r="AY277" s="2"/>
    </row>
    <row r="278" ht="15.75" customHeight="1">
      <c r="AH278" s="2"/>
      <c r="AW278" s="2"/>
      <c r="AX278" s="2"/>
      <c r="AY278" s="2"/>
    </row>
    <row r="279" ht="15.75" customHeight="1">
      <c r="AH279" s="2"/>
      <c r="AW279" s="2"/>
      <c r="AX279" s="2"/>
      <c r="AY279" s="2"/>
    </row>
    <row r="280" ht="15.75" customHeight="1">
      <c r="AH280" s="2"/>
      <c r="AW280" s="2"/>
      <c r="AX280" s="2"/>
      <c r="AY280" s="2"/>
    </row>
    <row r="281" ht="15.75" customHeight="1">
      <c r="AH281" s="2"/>
      <c r="AW281" s="2"/>
      <c r="AX281" s="2"/>
      <c r="AY281" s="2"/>
    </row>
    <row r="282" ht="15.75" customHeight="1">
      <c r="AH282" s="2"/>
      <c r="AW282" s="2"/>
      <c r="AX282" s="2"/>
      <c r="AY282" s="2"/>
    </row>
    <row r="283" ht="15.75" customHeight="1">
      <c r="AH283" s="2"/>
      <c r="AW283" s="2"/>
      <c r="AX283" s="2"/>
      <c r="AY283" s="2"/>
    </row>
    <row r="284" ht="15.75" customHeight="1">
      <c r="AH284" s="2"/>
      <c r="AW284" s="2"/>
      <c r="AX284" s="2"/>
      <c r="AY284" s="2"/>
    </row>
    <row r="285" ht="15.75" customHeight="1">
      <c r="AH285" s="2"/>
      <c r="AW285" s="2"/>
      <c r="AX285" s="2"/>
      <c r="AY285" s="2"/>
    </row>
    <row r="286" ht="15.75" customHeight="1">
      <c r="AH286" s="2"/>
      <c r="AW286" s="2"/>
      <c r="AX286" s="2"/>
      <c r="AY286" s="2"/>
    </row>
    <row r="287" ht="15.75" customHeight="1">
      <c r="AH287" s="2"/>
      <c r="AW287" s="2"/>
      <c r="AX287" s="2"/>
      <c r="AY287" s="2"/>
    </row>
    <row r="288" ht="15.75" customHeight="1">
      <c r="AH288" s="2"/>
      <c r="AW288" s="2"/>
      <c r="AX288" s="2"/>
      <c r="AY288" s="2"/>
    </row>
    <row r="289" ht="15.75" customHeight="1">
      <c r="AH289" s="2"/>
      <c r="AW289" s="2"/>
      <c r="AX289" s="2"/>
      <c r="AY289" s="2"/>
    </row>
    <row r="290" ht="15.75" customHeight="1">
      <c r="AH290" s="2"/>
      <c r="AW290" s="2"/>
      <c r="AX290" s="2"/>
      <c r="AY290" s="2"/>
    </row>
    <row r="291" ht="15.75" customHeight="1">
      <c r="AH291" s="2"/>
      <c r="AW291" s="2"/>
      <c r="AX291" s="2"/>
      <c r="AY291" s="2"/>
    </row>
    <row r="292" ht="15.75" customHeight="1">
      <c r="AH292" s="2"/>
      <c r="AW292" s="2"/>
      <c r="AX292" s="2"/>
      <c r="AY292" s="2"/>
    </row>
    <row r="293" ht="15.75" customHeight="1">
      <c r="AH293" s="2"/>
      <c r="AW293" s="2"/>
      <c r="AX293" s="2"/>
      <c r="AY293" s="2"/>
    </row>
    <row r="294" ht="15.75" customHeight="1">
      <c r="AH294" s="2"/>
      <c r="AW294" s="2"/>
      <c r="AX294" s="2"/>
      <c r="AY294" s="2"/>
    </row>
    <row r="295" ht="15.75" customHeight="1">
      <c r="AH295" s="2"/>
      <c r="AW295" s="2"/>
      <c r="AX295" s="2"/>
      <c r="AY295" s="2"/>
    </row>
    <row r="296" ht="15.75" customHeight="1">
      <c r="AH296" s="2"/>
      <c r="AW296" s="2"/>
      <c r="AX296" s="2"/>
      <c r="AY296" s="2"/>
    </row>
    <row r="297" ht="15.75" customHeight="1">
      <c r="AH297" s="2"/>
      <c r="AW297" s="2"/>
      <c r="AX297" s="2"/>
      <c r="AY297" s="2"/>
    </row>
    <row r="298" ht="15.75" customHeight="1">
      <c r="AH298" s="2"/>
      <c r="AW298" s="2"/>
      <c r="AX298" s="2"/>
      <c r="AY298" s="2"/>
    </row>
    <row r="299" ht="15.75" customHeight="1">
      <c r="AH299" s="2"/>
      <c r="AW299" s="2"/>
      <c r="AX299" s="2"/>
      <c r="AY299" s="2"/>
    </row>
    <row r="300" ht="15.75" customHeight="1">
      <c r="AH300" s="2"/>
      <c r="AW300" s="2"/>
      <c r="AX300" s="2"/>
      <c r="AY300" s="2"/>
    </row>
    <row r="301" ht="15.75" customHeight="1">
      <c r="AH301" s="2"/>
      <c r="AW301" s="2"/>
      <c r="AX301" s="2"/>
      <c r="AY301" s="2"/>
    </row>
    <row r="302" ht="15.75" customHeight="1">
      <c r="AH302" s="2"/>
      <c r="AW302" s="2"/>
      <c r="AX302" s="2"/>
      <c r="AY302" s="2"/>
    </row>
    <row r="303" ht="15.75" customHeight="1">
      <c r="AH303" s="2"/>
      <c r="AW303" s="2"/>
      <c r="AX303" s="2"/>
      <c r="AY303" s="2"/>
    </row>
    <row r="304" ht="15.75" customHeight="1">
      <c r="AH304" s="2"/>
      <c r="AW304" s="2"/>
      <c r="AX304" s="2"/>
      <c r="AY304" s="2"/>
    </row>
    <row r="305" ht="15.75" customHeight="1">
      <c r="AH305" s="2"/>
      <c r="AW305" s="2"/>
      <c r="AX305" s="2"/>
      <c r="AY305" s="2"/>
    </row>
    <row r="306" ht="15.75" customHeight="1">
      <c r="AH306" s="2"/>
      <c r="AW306" s="2"/>
      <c r="AX306" s="2"/>
      <c r="AY306" s="2"/>
    </row>
    <row r="307" ht="15.75" customHeight="1">
      <c r="AH307" s="2"/>
      <c r="AW307" s="2"/>
      <c r="AX307" s="2"/>
      <c r="AY307" s="2"/>
    </row>
    <row r="308" ht="15.75" customHeight="1">
      <c r="AH308" s="2"/>
      <c r="AW308" s="2"/>
      <c r="AX308" s="2"/>
      <c r="AY308" s="2"/>
    </row>
    <row r="309" ht="15.75" customHeight="1">
      <c r="AH309" s="2"/>
      <c r="AW309" s="2"/>
      <c r="AX309" s="2"/>
      <c r="AY309" s="2"/>
    </row>
    <row r="310" ht="15.75" customHeight="1">
      <c r="AH310" s="2"/>
      <c r="AW310" s="2"/>
      <c r="AX310" s="2"/>
      <c r="AY310" s="2"/>
    </row>
    <row r="311" ht="15.75" customHeight="1">
      <c r="AH311" s="2"/>
      <c r="AW311" s="2"/>
      <c r="AX311" s="2"/>
      <c r="AY311" s="2"/>
    </row>
    <row r="312" ht="15.75" customHeight="1">
      <c r="AH312" s="2"/>
      <c r="AW312" s="2"/>
      <c r="AX312" s="2"/>
      <c r="AY312" s="2"/>
    </row>
    <row r="313" ht="15.75" customHeight="1">
      <c r="AH313" s="2"/>
      <c r="AW313" s="2"/>
      <c r="AX313" s="2"/>
      <c r="AY313" s="2"/>
    </row>
    <row r="314" ht="15.75" customHeight="1">
      <c r="AH314" s="2"/>
      <c r="AW314" s="2"/>
      <c r="AX314" s="2"/>
      <c r="AY314" s="2"/>
    </row>
    <row r="315" ht="15.75" customHeight="1">
      <c r="AH315" s="2"/>
      <c r="AW315" s="2"/>
      <c r="AX315" s="2"/>
      <c r="AY315" s="2"/>
    </row>
    <row r="316" ht="15.75" customHeight="1">
      <c r="AH316" s="2"/>
      <c r="AW316" s="2"/>
      <c r="AX316" s="2"/>
      <c r="AY316" s="2"/>
    </row>
    <row r="317" ht="15.75" customHeight="1">
      <c r="AH317" s="2"/>
      <c r="AW317" s="2"/>
      <c r="AX317" s="2"/>
      <c r="AY317" s="2"/>
    </row>
    <row r="318" ht="15.75" customHeight="1">
      <c r="AH318" s="2"/>
      <c r="AW318" s="2"/>
      <c r="AX318" s="2"/>
      <c r="AY318" s="2"/>
    </row>
    <row r="319" ht="15.75" customHeight="1">
      <c r="AH319" s="2"/>
      <c r="AW319" s="2"/>
      <c r="AX319" s="2"/>
      <c r="AY319" s="2"/>
    </row>
    <row r="320" ht="15.75" customHeight="1">
      <c r="AH320" s="2"/>
      <c r="AW320" s="2"/>
      <c r="AX320" s="2"/>
      <c r="AY320" s="2"/>
    </row>
    <row r="321" ht="15.75" customHeight="1">
      <c r="AH321" s="2"/>
      <c r="AW321" s="2"/>
      <c r="AX321" s="2"/>
      <c r="AY321" s="2"/>
    </row>
    <row r="322" ht="15.75" customHeight="1">
      <c r="AH322" s="2"/>
      <c r="AW322" s="2"/>
      <c r="AX322" s="2"/>
      <c r="AY322" s="2"/>
    </row>
    <row r="323" ht="15.75" customHeight="1">
      <c r="AH323" s="2"/>
      <c r="AW323" s="2"/>
      <c r="AX323" s="2"/>
      <c r="AY323" s="2"/>
    </row>
    <row r="324" ht="15.75" customHeight="1">
      <c r="AH324" s="2"/>
      <c r="AW324" s="2"/>
      <c r="AX324" s="2"/>
      <c r="AY324" s="2"/>
    </row>
    <row r="325" ht="15.75" customHeight="1">
      <c r="AH325" s="2"/>
      <c r="AW325" s="2"/>
      <c r="AX325" s="2"/>
      <c r="AY325" s="2"/>
    </row>
    <row r="326" ht="15.75" customHeight="1">
      <c r="AH326" s="2"/>
      <c r="AW326" s="2"/>
      <c r="AX326" s="2"/>
      <c r="AY326" s="2"/>
    </row>
    <row r="327" ht="15.75" customHeight="1">
      <c r="AH327" s="2"/>
      <c r="AW327" s="2"/>
      <c r="AX327" s="2"/>
      <c r="AY327" s="2"/>
    </row>
    <row r="328" ht="15.75" customHeight="1">
      <c r="AH328" s="2"/>
      <c r="AW328" s="2"/>
      <c r="AX328" s="2"/>
      <c r="AY328" s="2"/>
    </row>
    <row r="329" ht="15.75" customHeight="1">
      <c r="AH329" s="2"/>
      <c r="AW329" s="2"/>
      <c r="AX329" s="2"/>
      <c r="AY329" s="2"/>
    </row>
    <row r="330" ht="15.75" customHeight="1">
      <c r="AH330" s="2"/>
      <c r="AW330" s="2"/>
      <c r="AX330" s="2"/>
      <c r="AY330" s="2"/>
    </row>
    <row r="331" ht="15.75" customHeight="1">
      <c r="AH331" s="2"/>
      <c r="AW331" s="2"/>
      <c r="AX331" s="2"/>
      <c r="AY331" s="2"/>
    </row>
    <row r="332" ht="15.75" customHeight="1">
      <c r="AH332" s="2"/>
      <c r="AW332" s="2"/>
      <c r="AX332" s="2"/>
      <c r="AY332" s="2"/>
    </row>
    <row r="333" ht="15.75" customHeight="1">
      <c r="AH333" s="2"/>
      <c r="AW333" s="2"/>
      <c r="AX333" s="2"/>
      <c r="AY333" s="2"/>
    </row>
    <row r="334" ht="15.75" customHeight="1">
      <c r="AH334" s="2"/>
      <c r="AW334" s="2"/>
      <c r="AX334" s="2"/>
      <c r="AY334" s="2"/>
    </row>
    <row r="335" ht="15.75" customHeight="1">
      <c r="AH335" s="2"/>
      <c r="AW335" s="2"/>
      <c r="AX335" s="2"/>
      <c r="AY335" s="2"/>
    </row>
    <row r="336" ht="15.75" customHeight="1">
      <c r="AH336" s="2"/>
      <c r="AW336" s="2"/>
      <c r="AX336" s="2"/>
      <c r="AY336" s="2"/>
    </row>
    <row r="337" ht="15.75" customHeight="1">
      <c r="AH337" s="2"/>
      <c r="AW337" s="2"/>
      <c r="AX337" s="2"/>
      <c r="AY337" s="2"/>
    </row>
    <row r="338" ht="15.75" customHeight="1">
      <c r="AH338" s="2"/>
      <c r="AW338" s="2"/>
      <c r="AX338" s="2"/>
      <c r="AY338" s="2"/>
    </row>
    <row r="339" ht="15.75" customHeight="1">
      <c r="AH339" s="2"/>
      <c r="AW339" s="2"/>
      <c r="AX339" s="2"/>
      <c r="AY339" s="2"/>
    </row>
    <row r="340" ht="15.75" customHeight="1">
      <c r="AH340" s="2"/>
      <c r="AW340" s="2"/>
      <c r="AX340" s="2"/>
      <c r="AY340" s="2"/>
    </row>
    <row r="341" ht="15.75" customHeight="1">
      <c r="AH341" s="2"/>
      <c r="AW341" s="2"/>
      <c r="AX341" s="2"/>
      <c r="AY341" s="2"/>
    </row>
    <row r="342" ht="15.75" customHeight="1">
      <c r="AH342" s="2"/>
      <c r="AW342" s="2"/>
      <c r="AX342" s="2"/>
      <c r="AY342" s="2"/>
    </row>
    <row r="343" ht="15.75" customHeight="1">
      <c r="AH343" s="2"/>
      <c r="AW343" s="2"/>
      <c r="AX343" s="2"/>
      <c r="AY343" s="2"/>
    </row>
    <row r="344" ht="15.75" customHeight="1">
      <c r="AH344" s="2"/>
      <c r="AW344" s="2"/>
      <c r="AX344" s="2"/>
      <c r="AY344" s="2"/>
    </row>
    <row r="345" ht="15.75" customHeight="1">
      <c r="AH345" s="2"/>
      <c r="AW345" s="2"/>
      <c r="AX345" s="2"/>
      <c r="AY345" s="2"/>
    </row>
    <row r="346" ht="15.75" customHeight="1">
      <c r="AH346" s="2"/>
      <c r="AW346" s="2"/>
      <c r="AX346" s="2"/>
      <c r="AY346" s="2"/>
    </row>
    <row r="347" ht="15.75" customHeight="1">
      <c r="AH347" s="2"/>
      <c r="AW347" s="2"/>
      <c r="AX347" s="2"/>
      <c r="AY347" s="2"/>
    </row>
    <row r="348" ht="15.75" customHeight="1">
      <c r="AH348" s="2"/>
      <c r="AW348" s="2"/>
      <c r="AX348" s="2"/>
      <c r="AY348" s="2"/>
    </row>
    <row r="349" ht="15.75" customHeight="1">
      <c r="AH349" s="2"/>
      <c r="AW349" s="2"/>
      <c r="AX349" s="2"/>
      <c r="AY349" s="2"/>
    </row>
    <row r="350" ht="15.75" customHeight="1">
      <c r="AH350" s="2"/>
      <c r="AW350" s="2"/>
      <c r="AX350" s="2"/>
      <c r="AY350" s="2"/>
    </row>
    <row r="351" ht="15.75" customHeight="1">
      <c r="AH351" s="2"/>
      <c r="AW351" s="2"/>
      <c r="AX351" s="2"/>
      <c r="AY351" s="2"/>
    </row>
    <row r="352" ht="15.75" customHeight="1">
      <c r="AH352" s="2"/>
      <c r="AW352" s="2"/>
      <c r="AX352" s="2"/>
      <c r="AY352" s="2"/>
    </row>
    <row r="353" ht="15.75" customHeight="1">
      <c r="AH353" s="2"/>
      <c r="AW353" s="2"/>
      <c r="AX353" s="2"/>
      <c r="AY353" s="2"/>
    </row>
    <row r="354" ht="15.75" customHeight="1">
      <c r="AH354" s="2"/>
      <c r="AW354" s="2"/>
      <c r="AX354" s="2"/>
      <c r="AY354" s="2"/>
    </row>
    <row r="355" ht="15.75" customHeight="1">
      <c r="AH355" s="2"/>
      <c r="AW355" s="2"/>
      <c r="AX355" s="2"/>
      <c r="AY355" s="2"/>
    </row>
    <row r="356" ht="15.75" customHeight="1">
      <c r="AH356" s="2"/>
      <c r="AW356" s="2"/>
      <c r="AX356" s="2"/>
      <c r="AY356" s="2"/>
    </row>
    <row r="357" ht="15.75" customHeight="1">
      <c r="AH357" s="2"/>
      <c r="AW357" s="2"/>
      <c r="AX357" s="2"/>
      <c r="AY357" s="2"/>
    </row>
    <row r="358" ht="15.75" customHeight="1">
      <c r="AH358" s="2"/>
      <c r="AW358" s="2"/>
      <c r="AX358" s="2"/>
      <c r="AY358" s="2"/>
    </row>
    <row r="359" ht="15.75" customHeight="1">
      <c r="AH359" s="2"/>
      <c r="AW359" s="2"/>
      <c r="AX359" s="2"/>
      <c r="AY359" s="2"/>
    </row>
    <row r="360" ht="15.75" customHeight="1">
      <c r="AH360" s="2"/>
      <c r="AW360" s="2"/>
      <c r="AX360" s="2"/>
      <c r="AY360" s="2"/>
    </row>
    <row r="361" ht="15.75" customHeight="1">
      <c r="AH361" s="2"/>
      <c r="AW361" s="2"/>
      <c r="AX361" s="2"/>
      <c r="AY361" s="2"/>
    </row>
    <row r="362" ht="15.75" customHeight="1">
      <c r="AH362" s="2"/>
      <c r="AW362" s="2"/>
      <c r="AX362" s="2"/>
      <c r="AY362" s="2"/>
    </row>
    <row r="363" ht="15.75" customHeight="1">
      <c r="AH363" s="2"/>
      <c r="AW363" s="2"/>
      <c r="AX363" s="2"/>
      <c r="AY363" s="2"/>
    </row>
    <row r="364" ht="15.75" customHeight="1">
      <c r="AH364" s="2"/>
      <c r="AW364" s="2"/>
      <c r="AX364" s="2"/>
      <c r="AY364" s="2"/>
    </row>
    <row r="365" ht="15.75" customHeight="1">
      <c r="AH365" s="2"/>
      <c r="AW365" s="2"/>
      <c r="AX365" s="2"/>
      <c r="AY365" s="2"/>
    </row>
    <row r="366" ht="15.75" customHeight="1">
      <c r="AH366" s="2"/>
      <c r="AW366" s="2"/>
      <c r="AX366" s="2"/>
      <c r="AY366" s="2"/>
    </row>
    <row r="367" ht="15.75" customHeight="1">
      <c r="AH367" s="2"/>
      <c r="AW367" s="2"/>
      <c r="AX367" s="2"/>
      <c r="AY367" s="2"/>
    </row>
    <row r="368" ht="15.75" customHeight="1">
      <c r="AH368" s="2"/>
      <c r="AW368" s="2"/>
      <c r="AX368" s="2"/>
      <c r="AY368" s="2"/>
    </row>
    <row r="369" ht="15.75" customHeight="1">
      <c r="AH369" s="2"/>
      <c r="AW369" s="2"/>
      <c r="AX369" s="2"/>
      <c r="AY369" s="2"/>
    </row>
    <row r="370" ht="15.75" customHeight="1">
      <c r="AH370" s="2"/>
      <c r="AW370" s="2"/>
      <c r="AX370" s="2"/>
      <c r="AY370" s="2"/>
    </row>
    <row r="371" ht="15.75" customHeight="1">
      <c r="AH371" s="2"/>
      <c r="AW371" s="2"/>
      <c r="AX371" s="2"/>
      <c r="AY371" s="2"/>
    </row>
    <row r="372" ht="15.75" customHeight="1">
      <c r="AH372" s="2"/>
      <c r="AW372" s="2"/>
      <c r="AX372" s="2"/>
      <c r="AY372" s="2"/>
    </row>
    <row r="373" ht="15.75" customHeight="1">
      <c r="AH373" s="2"/>
      <c r="AW373" s="2"/>
      <c r="AX373" s="2"/>
      <c r="AY373" s="2"/>
    </row>
    <row r="374" ht="15.75" customHeight="1">
      <c r="AH374" s="2"/>
      <c r="AW374" s="2"/>
      <c r="AX374" s="2"/>
      <c r="AY374" s="2"/>
    </row>
    <row r="375" ht="15.75" customHeight="1">
      <c r="AH375" s="2"/>
      <c r="AW375" s="2"/>
      <c r="AX375" s="2"/>
      <c r="AY375" s="2"/>
    </row>
    <row r="376" ht="15.75" customHeight="1">
      <c r="AH376" s="2"/>
      <c r="AW376" s="2"/>
      <c r="AX376" s="2"/>
      <c r="AY376" s="2"/>
    </row>
    <row r="377" ht="15.75" customHeight="1">
      <c r="AH377" s="2"/>
      <c r="AW377" s="2"/>
      <c r="AX377" s="2"/>
      <c r="AY377" s="2"/>
    </row>
    <row r="378" ht="15.75" customHeight="1">
      <c r="AH378" s="2"/>
      <c r="AW378" s="2"/>
      <c r="AX378" s="2"/>
      <c r="AY378" s="2"/>
    </row>
    <row r="379" ht="15.75" customHeight="1">
      <c r="AH379" s="2"/>
      <c r="AW379" s="2"/>
      <c r="AX379" s="2"/>
      <c r="AY379" s="2"/>
    </row>
    <row r="380" ht="15.75" customHeight="1">
      <c r="AH380" s="2"/>
      <c r="AW380" s="2"/>
      <c r="AX380" s="2"/>
      <c r="AY380" s="2"/>
    </row>
    <row r="381" ht="15.75" customHeight="1">
      <c r="AH381" s="2"/>
      <c r="AW381" s="2"/>
      <c r="AX381" s="2"/>
      <c r="AY381" s="2"/>
    </row>
    <row r="382" ht="15.75" customHeight="1">
      <c r="AH382" s="2"/>
      <c r="AW382" s="2"/>
      <c r="AX382" s="2"/>
      <c r="AY382" s="2"/>
    </row>
    <row r="383" ht="15.75" customHeight="1">
      <c r="AH383" s="2"/>
      <c r="AW383" s="2"/>
      <c r="AX383" s="2"/>
      <c r="AY383" s="2"/>
    </row>
    <row r="384" ht="15.75" customHeight="1">
      <c r="AH384" s="2"/>
      <c r="AW384" s="2"/>
      <c r="AX384" s="2"/>
      <c r="AY384" s="2"/>
    </row>
    <row r="385" ht="15.75" customHeight="1">
      <c r="AH385" s="2"/>
      <c r="AW385" s="2"/>
      <c r="AX385" s="2"/>
      <c r="AY385" s="2"/>
    </row>
    <row r="386" ht="15.75" customHeight="1">
      <c r="AH386" s="2"/>
      <c r="AW386" s="2"/>
      <c r="AX386" s="2"/>
      <c r="AY386" s="2"/>
    </row>
    <row r="387" ht="15.75" customHeight="1">
      <c r="AH387" s="2"/>
      <c r="AW387" s="2"/>
      <c r="AX387" s="2"/>
      <c r="AY387" s="2"/>
    </row>
    <row r="388" ht="15.75" customHeight="1">
      <c r="AH388" s="2"/>
      <c r="AW388" s="2"/>
      <c r="AX388" s="2"/>
      <c r="AY388" s="2"/>
    </row>
    <row r="389" ht="15.75" customHeight="1">
      <c r="AH389" s="2"/>
      <c r="AW389" s="2"/>
      <c r="AX389" s="2"/>
      <c r="AY389" s="2"/>
    </row>
    <row r="390" ht="15.75" customHeight="1">
      <c r="AH390" s="2"/>
      <c r="AW390" s="2"/>
      <c r="AX390" s="2"/>
      <c r="AY390" s="2"/>
    </row>
    <row r="391" ht="15.75" customHeight="1">
      <c r="AH391" s="2"/>
      <c r="AW391" s="2"/>
      <c r="AX391" s="2"/>
      <c r="AY391" s="2"/>
    </row>
    <row r="392" ht="15.75" customHeight="1">
      <c r="AH392" s="2"/>
      <c r="AW392" s="2"/>
      <c r="AX392" s="2"/>
      <c r="AY392" s="2"/>
    </row>
    <row r="393" ht="15.75" customHeight="1">
      <c r="AH393" s="2"/>
      <c r="AW393" s="2"/>
      <c r="AX393" s="2"/>
      <c r="AY393" s="2"/>
    </row>
    <row r="394" ht="15.75" customHeight="1">
      <c r="AH394" s="2"/>
      <c r="AW394" s="2"/>
      <c r="AX394" s="2"/>
      <c r="AY394" s="2"/>
    </row>
    <row r="395" ht="15.75" customHeight="1">
      <c r="AH395" s="2"/>
      <c r="AW395" s="2"/>
      <c r="AX395" s="2"/>
      <c r="AY395" s="2"/>
    </row>
    <row r="396" ht="15.75" customHeight="1">
      <c r="AH396" s="2"/>
      <c r="AW396" s="2"/>
      <c r="AX396" s="2"/>
      <c r="AY396" s="2"/>
    </row>
    <row r="397" ht="15.75" customHeight="1">
      <c r="AH397" s="2"/>
      <c r="AW397" s="2"/>
      <c r="AX397" s="2"/>
      <c r="AY397" s="2"/>
    </row>
    <row r="398" ht="15.75" customHeight="1">
      <c r="AH398" s="2"/>
      <c r="AW398" s="2"/>
      <c r="AX398" s="2"/>
      <c r="AY398" s="2"/>
    </row>
    <row r="399" ht="15.75" customHeight="1">
      <c r="AH399" s="2"/>
      <c r="AW399" s="2"/>
      <c r="AX399" s="2"/>
      <c r="AY399" s="2"/>
    </row>
    <row r="400" ht="15.75" customHeight="1">
      <c r="AH400" s="2"/>
      <c r="AW400" s="2"/>
      <c r="AX400" s="2"/>
      <c r="AY400" s="2"/>
    </row>
    <row r="401" ht="15.75" customHeight="1">
      <c r="AH401" s="2"/>
      <c r="AW401" s="2"/>
      <c r="AX401" s="2"/>
      <c r="AY401" s="2"/>
    </row>
    <row r="402" ht="15.75" customHeight="1">
      <c r="AH402" s="2"/>
      <c r="AW402" s="2"/>
      <c r="AX402" s="2"/>
      <c r="AY402" s="2"/>
    </row>
    <row r="403" ht="15.75" customHeight="1">
      <c r="AH403" s="2"/>
      <c r="AW403" s="2"/>
      <c r="AX403" s="2"/>
      <c r="AY403" s="2"/>
    </row>
    <row r="404" ht="15.75" customHeight="1">
      <c r="AH404" s="2"/>
      <c r="AW404" s="2"/>
      <c r="AX404" s="2"/>
      <c r="AY404" s="2"/>
    </row>
    <row r="405" ht="15.75" customHeight="1">
      <c r="AH405" s="2"/>
      <c r="AW405" s="2"/>
      <c r="AX405" s="2"/>
      <c r="AY405" s="2"/>
    </row>
    <row r="406" ht="15.75" customHeight="1">
      <c r="AH406" s="2"/>
      <c r="AW406" s="2"/>
      <c r="AX406" s="2"/>
      <c r="AY406" s="2"/>
    </row>
    <row r="407" ht="15.75" customHeight="1">
      <c r="AH407" s="2"/>
      <c r="AW407" s="2"/>
      <c r="AX407" s="2"/>
      <c r="AY407" s="2"/>
    </row>
    <row r="408" ht="15.75" customHeight="1">
      <c r="AH408" s="2"/>
      <c r="AW408" s="2"/>
      <c r="AX408" s="2"/>
      <c r="AY408" s="2"/>
    </row>
    <row r="409" ht="15.75" customHeight="1">
      <c r="AH409" s="2"/>
      <c r="AW409" s="2"/>
      <c r="AX409" s="2"/>
      <c r="AY409" s="2"/>
    </row>
    <row r="410" ht="15.75" customHeight="1">
      <c r="AH410" s="2"/>
      <c r="AW410" s="2"/>
      <c r="AX410" s="2"/>
      <c r="AY410" s="2"/>
    </row>
    <row r="411" ht="15.75" customHeight="1">
      <c r="AH411" s="2"/>
      <c r="AW411" s="2"/>
      <c r="AX411" s="2"/>
      <c r="AY411" s="2"/>
    </row>
    <row r="412" ht="15.75" customHeight="1">
      <c r="AH412" s="2"/>
      <c r="AW412" s="2"/>
      <c r="AX412" s="2"/>
      <c r="AY412" s="2"/>
    </row>
    <row r="413" ht="15.75" customHeight="1">
      <c r="AH413" s="2"/>
      <c r="AW413" s="2"/>
      <c r="AX413" s="2"/>
      <c r="AY413" s="2"/>
    </row>
    <row r="414" ht="15.75" customHeight="1">
      <c r="AH414" s="2"/>
      <c r="AW414" s="2"/>
      <c r="AX414" s="2"/>
      <c r="AY414" s="2"/>
    </row>
    <row r="415" ht="15.75" customHeight="1">
      <c r="AH415" s="2"/>
      <c r="AW415" s="2"/>
      <c r="AX415" s="2"/>
      <c r="AY415" s="2"/>
    </row>
    <row r="416" ht="15.75" customHeight="1">
      <c r="AH416" s="2"/>
      <c r="AW416" s="2"/>
      <c r="AX416" s="2"/>
      <c r="AY416" s="2"/>
    </row>
    <row r="417" ht="15.75" customHeight="1">
      <c r="AH417" s="2"/>
      <c r="AW417" s="2"/>
      <c r="AX417" s="2"/>
      <c r="AY417" s="2"/>
    </row>
    <row r="418" ht="15.75" customHeight="1">
      <c r="AH418" s="2"/>
      <c r="AW418" s="2"/>
      <c r="AX418" s="2"/>
      <c r="AY418" s="2"/>
    </row>
    <row r="419" ht="15.75" customHeight="1">
      <c r="AH419" s="2"/>
      <c r="AW419" s="2"/>
      <c r="AX419" s="2"/>
      <c r="AY419" s="2"/>
    </row>
    <row r="420" ht="15.75" customHeight="1">
      <c r="AH420" s="2"/>
      <c r="AW420" s="2"/>
      <c r="AX420" s="2"/>
      <c r="AY420" s="2"/>
    </row>
    <row r="421" ht="15.75" customHeight="1">
      <c r="AH421" s="2"/>
      <c r="AW421" s="2"/>
      <c r="AX421" s="2"/>
      <c r="AY421" s="2"/>
    </row>
    <row r="422" ht="15.75" customHeight="1">
      <c r="AH422" s="2"/>
      <c r="AW422" s="2"/>
      <c r="AX422" s="2"/>
      <c r="AY422" s="2"/>
    </row>
    <row r="423" ht="15.75" customHeight="1">
      <c r="AH423" s="2"/>
      <c r="AW423" s="2"/>
      <c r="AX423" s="2"/>
      <c r="AY423" s="2"/>
    </row>
    <row r="424" ht="15.75" customHeight="1">
      <c r="AH424" s="2"/>
      <c r="AW424" s="2"/>
      <c r="AX424" s="2"/>
      <c r="AY424" s="2"/>
    </row>
    <row r="425" ht="15.75" customHeight="1">
      <c r="AH425" s="2"/>
      <c r="AW425" s="2"/>
      <c r="AX425" s="2"/>
      <c r="AY425" s="2"/>
    </row>
    <row r="426" ht="15.75" customHeight="1">
      <c r="AH426" s="2"/>
      <c r="AW426" s="2"/>
      <c r="AX426" s="2"/>
      <c r="AY426" s="2"/>
    </row>
    <row r="427" ht="15.75" customHeight="1">
      <c r="AH427" s="2"/>
      <c r="AW427" s="2"/>
      <c r="AX427" s="2"/>
      <c r="AY427" s="2"/>
    </row>
    <row r="428" ht="15.75" customHeight="1">
      <c r="AH428" s="2"/>
      <c r="AW428" s="2"/>
      <c r="AX428" s="2"/>
      <c r="AY428" s="2"/>
    </row>
    <row r="429" ht="15.75" customHeight="1">
      <c r="AH429" s="2"/>
      <c r="AW429" s="2"/>
      <c r="AX429" s="2"/>
      <c r="AY429" s="2"/>
    </row>
    <row r="430" ht="15.75" customHeight="1">
      <c r="AH430" s="2"/>
      <c r="AW430" s="2"/>
      <c r="AX430" s="2"/>
      <c r="AY430" s="2"/>
    </row>
    <row r="431" ht="15.75" customHeight="1">
      <c r="AH431" s="2"/>
      <c r="AW431" s="2"/>
      <c r="AX431" s="2"/>
      <c r="AY431" s="2"/>
    </row>
    <row r="432" ht="15.75" customHeight="1">
      <c r="AH432" s="2"/>
      <c r="AW432" s="2"/>
      <c r="AX432" s="2"/>
      <c r="AY432" s="2"/>
    </row>
    <row r="433" ht="15.75" customHeight="1">
      <c r="AH433" s="2"/>
      <c r="AW433" s="2"/>
      <c r="AX433" s="2"/>
      <c r="AY433" s="2"/>
    </row>
    <row r="434" ht="15.75" customHeight="1">
      <c r="AH434" s="2"/>
      <c r="AW434" s="2"/>
      <c r="AX434" s="2"/>
      <c r="AY434" s="2"/>
    </row>
    <row r="435" ht="15.75" customHeight="1">
      <c r="AH435" s="2"/>
      <c r="AW435" s="2"/>
      <c r="AX435" s="2"/>
      <c r="AY435" s="2"/>
    </row>
    <row r="436" ht="15.75" customHeight="1">
      <c r="AH436" s="2"/>
      <c r="AW436" s="2"/>
      <c r="AX436" s="2"/>
      <c r="AY436" s="2"/>
    </row>
    <row r="437" ht="15.75" customHeight="1">
      <c r="AH437" s="2"/>
      <c r="AW437" s="2"/>
      <c r="AX437" s="2"/>
      <c r="AY437" s="2"/>
    </row>
    <row r="438" ht="15.75" customHeight="1">
      <c r="AH438" s="2"/>
      <c r="AW438" s="2"/>
      <c r="AX438" s="2"/>
      <c r="AY438" s="2"/>
    </row>
    <row r="439" ht="15.75" customHeight="1">
      <c r="AH439" s="2"/>
      <c r="AW439" s="2"/>
      <c r="AX439" s="2"/>
      <c r="AY439" s="2"/>
    </row>
    <row r="440" ht="15.75" customHeight="1">
      <c r="AH440" s="2"/>
      <c r="AW440" s="2"/>
      <c r="AX440" s="2"/>
      <c r="AY440" s="2"/>
    </row>
    <row r="441" ht="15.75" customHeight="1">
      <c r="AH441" s="2"/>
      <c r="AW441" s="2"/>
      <c r="AX441" s="2"/>
      <c r="AY441" s="2"/>
    </row>
    <row r="442" ht="15.75" customHeight="1">
      <c r="AH442" s="2"/>
      <c r="AW442" s="2"/>
      <c r="AX442" s="2"/>
      <c r="AY442" s="2"/>
    </row>
    <row r="443" ht="15.75" customHeight="1">
      <c r="AH443" s="2"/>
      <c r="AW443" s="2"/>
      <c r="AX443" s="2"/>
      <c r="AY443" s="2"/>
    </row>
    <row r="444" ht="15.75" customHeight="1">
      <c r="AH444" s="2"/>
      <c r="AW444" s="2"/>
      <c r="AX444" s="2"/>
      <c r="AY444" s="2"/>
    </row>
    <row r="445" ht="15.75" customHeight="1">
      <c r="AH445" s="2"/>
      <c r="AW445" s="2"/>
      <c r="AX445" s="2"/>
      <c r="AY445" s="2"/>
    </row>
    <row r="446" ht="15.75" customHeight="1">
      <c r="AH446" s="2"/>
      <c r="AW446" s="2"/>
      <c r="AX446" s="2"/>
      <c r="AY446" s="2"/>
    </row>
    <row r="447" ht="15.75" customHeight="1">
      <c r="AH447" s="2"/>
      <c r="AW447" s="2"/>
      <c r="AX447" s="2"/>
      <c r="AY447" s="2"/>
    </row>
    <row r="448" ht="15.75" customHeight="1">
      <c r="AH448" s="2"/>
      <c r="AW448" s="2"/>
      <c r="AX448" s="2"/>
      <c r="AY448" s="2"/>
    </row>
    <row r="449" ht="15.75" customHeight="1">
      <c r="AH449" s="2"/>
      <c r="AW449" s="2"/>
      <c r="AX449" s="2"/>
      <c r="AY449" s="2"/>
    </row>
    <row r="450" ht="15.75" customHeight="1">
      <c r="AH450" s="2"/>
      <c r="AW450" s="2"/>
      <c r="AX450" s="2"/>
      <c r="AY450" s="2"/>
    </row>
    <row r="451" ht="15.75" customHeight="1">
      <c r="AH451" s="2"/>
      <c r="AW451" s="2"/>
      <c r="AX451" s="2"/>
      <c r="AY451" s="2"/>
    </row>
    <row r="452" ht="15.75" customHeight="1">
      <c r="AH452" s="2"/>
      <c r="AW452" s="2"/>
      <c r="AX452" s="2"/>
      <c r="AY452" s="2"/>
    </row>
    <row r="453" ht="15.75" customHeight="1">
      <c r="AH453" s="2"/>
      <c r="AW453" s="2"/>
      <c r="AX453" s="2"/>
      <c r="AY453" s="2"/>
    </row>
    <row r="454" ht="15.75" customHeight="1">
      <c r="AH454" s="2"/>
      <c r="AW454" s="2"/>
      <c r="AX454" s="2"/>
      <c r="AY454" s="2"/>
    </row>
    <row r="455" ht="15.75" customHeight="1">
      <c r="AH455" s="2"/>
      <c r="AW455" s="2"/>
      <c r="AX455" s="2"/>
      <c r="AY455" s="2"/>
    </row>
    <row r="456" ht="15.75" customHeight="1">
      <c r="AH456" s="2"/>
      <c r="AW456" s="2"/>
      <c r="AX456" s="2"/>
      <c r="AY456" s="2"/>
    </row>
    <row r="457" ht="15.75" customHeight="1">
      <c r="AH457" s="2"/>
      <c r="AW457" s="2"/>
      <c r="AX457" s="2"/>
      <c r="AY457" s="2"/>
    </row>
    <row r="458" ht="15.75" customHeight="1">
      <c r="AH458" s="2"/>
      <c r="AW458" s="2"/>
      <c r="AX458" s="2"/>
      <c r="AY458" s="2"/>
    </row>
    <row r="459" ht="15.75" customHeight="1">
      <c r="AH459" s="2"/>
      <c r="AW459" s="2"/>
      <c r="AX459" s="2"/>
      <c r="AY459" s="2"/>
    </row>
    <row r="460" ht="15.75" customHeight="1">
      <c r="AH460" s="2"/>
      <c r="AW460" s="2"/>
      <c r="AX460" s="2"/>
      <c r="AY460" s="2"/>
    </row>
    <row r="461" ht="15.75" customHeight="1">
      <c r="AH461" s="2"/>
      <c r="AW461" s="2"/>
      <c r="AX461" s="2"/>
      <c r="AY461" s="2"/>
    </row>
    <row r="462" ht="15.75" customHeight="1">
      <c r="AH462" s="2"/>
      <c r="AW462" s="2"/>
      <c r="AX462" s="2"/>
      <c r="AY462" s="2"/>
    </row>
    <row r="463" ht="15.75" customHeight="1">
      <c r="AH463" s="2"/>
      <c r="AW463" s="2"/>
      <c r="AX463" s="2"/>
      <c r="AY463" s="2"/>
    </row>
    <row r="464" ht="15.75" customHeight="1">
      <c r="AH464" s="2"/>
      <c r="AW464" s="2"/>
      <c r="AX464" s="2"/>
      <c r="AY464" s="2"/>
    </row>
    <row r="465" ht="15.75" customHeight="1">
      <c r="AH465" s="2"/>
      <c r="AW465" s="2"/>
      <c r="AX465" s="2"/>
      <c r="AY465" s="2"/>
    </row>
    <row r="466" ht="15.75" customHeight="1">
      <c r="AH466" s="2"/>
      <c r="AW466" s="2"/>
      <c r="AX466" s="2"/>
      <c r="AY466" s="2"/>
    </row>
    <row r="467" ht="15.75" customHeight="1">
      <c r="AH467" s="2"/>
      <c r="AW467" s="2"/>
      <c r="AX467" s="2"/>
      <c r="AY467" s="2"/>
    </row>
    <row r="468" ht="15.75" customHeight="1">
      <c r="AH468" s="2"/>
      <c r="AW468" s="2"/>
      <c r="AX468" s="2"/>
      <c r="AY468" s="2"/>
    </row>
    <row r="469" ht="15.75" customHeight="1">
      <c r="AH469" s="2"/>
      <c r="AW469" s="2"/>
      <c r="AX469" s="2"/>
      <c r="AY469" s="2"/>
    </row>
    <row r="470" ht="15.75" customHeight="1">
      <c r="AH470" s="2"/>
      <c r="AW470" s="2"/>
      <c r="AX470" s="2"/>
      <c r="AY470" s="2"/>
    </row>
    <row r="471" ht="15.75" customHeight="1">
      <c r="AH471" s="2"/>
      <c r="AW471" s="2"/>
      <c r="AX471" s="2"/>
      <c r="AY471" s="2"/>
    </row>
    <row r="472" ht="15.75" customHeight="1">
      <c r="AH472" s="2"/>
      <c r="AW472" s="2"/>
      <c r="AX472" s="2"/>
      <c r="AY472" s="2"/>
    </row>
    <row r="473" ht="15.75" customHeight="1">
      <c r="AH473" s="2"/>
      <c r="AW473" s="2"/>
      <c r="AX473" s="2"/>
      <c r="AY473" s="2"/>
    </row>
    <row r="474" ht="15.75" customHeight="1">
      <c r="AH474" s="2"/>
      <c r="AW474" s="2"/>
      <c r="AX474" s="2"/>
      <c r="AY474" s="2"/>
    </row>
    <row r="475" ht="15.75" customHeight="1">
      <c r="AH475" s="2"/>
      <c r="AW475" s="2"/>
      <c r="AX475" s="2"/>
      <c r="AY475" s="2"/>
    </row>
    <row r="476" ht="15.75" customHeight="1">
      <c r="AH476" s="2"/>
      <c r="AW476" s="2"/>
      <c r="AX476" s="2"/>
      <c r="AY476" s="2"/>
    </row>
    <row r="477" ht="15.75" customHeight="1">
      <c r="AH477" s="2"/>
      <c r="AW477" s="2"/>
      <c r="AX477" s="2"/>
      <c r="AY477" s="2"/>
    </row>
    <row r="478" ht="15.75" customHeight="1">
      <c r="AH478" s="2"/>
      <c r="AW478" s="2"/>
      <c r="AX478" s="2"/>
      <c r="AY478" s="2"/>
    </row>
    <row r="479" ht="15.75" customHeight="1">
      <c r="AH479" s="2"/>
      <c r="AW479" s="2"/>
      <c r="AX479" s="2"/>
      <c r="AY479" s="2"/>
    </row>
    <row r="480" ht="15.75" customHeight="1">
      <c r="AH480" s="2"/>
      <c r="AW480" s="2"/>
      <c r="AX480" s="2"/>
      <c r="AY480" s="2"/>
    </row>
    <row r="481" ht="15.75" customHeight="1">
      <c r="AH481" s="2"/>
      <c r="AW481" s="2"/>
      <c r="AX481" s="2"/>
      <c r="AY481" s="2"/>
    </row>
    <row r="482" ht="15.75" customHeight="1">
      <c r="AH482" s="2"/>
      <c r="AW482" s="2"/>
      <c r="AX482" s="2"/>
      <c r="AY482" s="2"/>
    </row>
    <row r="483" ht="15.75" customHeight="1">
      <c r="AH483" s="2"/>
      <c r="AW483" s="2"/>
      <c r="AX483" s="2"/>
      <c r="AY483" s="2"/>
    </row>
    <row r="484" ht="15.75" customHeight="1">
      <c r="AH484" s="2"/>
      <c r="AW484" s="2"/>
      <c r="AX484" s="2"/>
      <c r="AY484" s="2"/>
    </row>
    <row r="485" ht="15.75" customHeight="1">
      <c r="AH485" s="2"/>
      <c r="AW485" s="2"/>
      <c r="AX485" s="2"/>
      <c r="AY485" s="2"/>
    </row>
    <row r="486" ht="15.75" customHeight="1">
      <c r="AH486" s="2"/>
      <c r="AW486" s="2"/>
      <c r="AX486" s="2"/>
      <c r="AY486" s="2"/>
    </row>
    <row r="487" ht="15.75" customHeight="1">
      <c r="AH487" s="2"/>
      <c r="AW487" s="2"/>
      <c r="AX487" s="2"/>
      <c r="AY487" s="2"/>
    </row>
    <row r="488" ht="15.75" customHeight="1">
      <c r="AH488" s="2"/>
      <c r="AW488" s="2"/>
      <c r="AX488" s="2"/>
      <c r="AY488" s="2"/>
    </row>
    <row r="489" ht="15.75" customHeight="1">
      <c r="AH489" s="2"/>
      <c r="AW489" s="2"/>
      <c r="AX489" s="2"/>
      <c r="AY489" s="2"/>
    </row>
    <row r="490" ht="15.75" customHeight="1">
      <c r="AH490" s="2"/>
      <c r="AW490" s="2"/>
      <c r="AX490" s="2"/>
      <c r="AY490" s="2"/>
    </row>
    <row r="491" ht="15.75" customHeight="1">
      <c r="AH491" s="2"/>
      <c r="AW491" s="2"/>
      <c r="AX491" s="2"/>
      <c r="AY491" s="2"/>
    </row>
    <row r="492" ht="15.75" customHeight="1">
      <c r="AH492" s="2"/>
      <c r="AW492" s="2"/>
      <c r="AX492" s="2"/>
      <c r="AY492" s="2"/>
    </row>
    <row r="493" ht="15.75" customHeight="1">
      <c r="AH493" s="2"/>
      <c r="AW493" s="2"/>
      <c r="AX493" s="2"/>
      <c r="AY493" s="2"/>
    </row>
    <row r="494" ht="15.75" customHeight="1">
      <c r="AH494" s="2"/>
      <c r="AW494" s="2"/>
      <c r="AX494" s="2"/>
      <c r="AY494" s="2"/>
    </row>
    <row r="495" ht="15.75" customHeight="1">
      <c r="AH495" s="2"/>
      <c r="AW495" s="2"/>
      <c r="AX495" s="2"/>
      <c r="AY495" s="2"/>
    </row>
    <row r="496" ht="15.75" customHeight="1">
      <c r="AH496" s="2"/>
      <c r="AW496" s="2"/>
      <c r="AX496" s="2"/>
      <c r="AY496" s="2"/>
    </row>
    <row r="497" ht="15.75" customHeight="1">
      <c r="AH497" s="2"/>
      <c r="AW497" s="2"/>
      <c r="AX497" s="2"/>
      <c r="AY497" s="2"/>
    </row>
    <row r="498" ht="15.75" customHeight="1">
      <c r="AH498" s="2"/>
      <c r="AW498" s="2"/>
      <c r="AX498" s="2"/>
      <c r="AY498" s="2"/>
    </row>
    <row r="499" ht="15.75" customHeight="1">
      <c r="AH499" s="2"/>
      <c r="AW499" s="2"/>
      <c r="AX499" s="2"/>
      <c r="AY499" s="2"/>
    </row>
    <row r="500" ht="15.75" customHeight="1">
      <c r="AH500" s="2"/>
      <c r="AW500" s="2"/>
      <c r="AX500" s="2"/>
      <c r="AY500" s="2"/>
    </row>
    <row r="501" ht="15.75" customHeight="1">
      <c r="AH501" s="2"/>
      <c r="AW501" s="2"/>
      <c r="AX501" s="2"/>
      <c r="AY501" s="2"/>
    </row>
    <row r="502" ht="15.75" customHeight="1">
      <c r="AH502" s="2"/>
      <c r="AW502" s="2"/>
      <c r="AX502" s="2"/>
      <c r="AY502" s="2"/>
    </row>
    <row r="503" ht="15.75" customHeight="1">
      <c r="AH503" s="2"/>
      <c r="AW503" s="2"/>
      <c r="AX503" s="2"/>
      <c r="AY503" s="2"/>
    </row>
    <row r="504" ht="15.75" customHeight="1">
      <c r="AH504" s="2"/>
      <c r="AW504" s="2"/>
      <c r="AX504" s="2"/>
      <c r="AY504" s="2"/>
    </row>
    <row r="505" ht="15.75" customHeight="1">
      <c r="AH505" s="2"/>
      <c r="AW505" s="2"/>
      <c r="AX505" s="2"/>
      <c r="AY505" s="2"/>
    </row>
    <row r="506" ht="15.75" customHeight="1">
      <c r="AH506" s="2"/>
      <c r="AW506" s="2"/>
      <c r="AX506" s="2"/>
      <c r="AY506" s="2"/>
    </row>
    <row r="507" ht="15.75" customHeight="1">
      <c r="AH507" s="2"/>
      <c r="AW507" s="2"/>
      <c r="AX507" s="2"/>
      <c r="AY507" s="2"/>
    </row>
    <row r="508" ht="15.75" customHeight="1">
      <c r="AH508" s="2"/>
      <c r="AW508" s="2"/>
      <c r="AX508" s="2"/>
      <c r="AY508" s="2"/>
    </row>
    <row r="509" ht="15.75" customHeight="1">
      <c r="AH509" s="2"/>
      <c r="AW509" s="2"/>
      <c r="AX509" s="2"/>
      <c r="AY509" s="2"/>
    </row>
    <row r="510" ht="15.75" customHeight="1">
      <c r="AH510" s="2"/>
      <c r="AW510" s="2"/>
      <c r="AX510" s="2"/>
      <c r="AY510" s="2"/>
    </row>
    <row r="511" ht="15.75" customHeight="1">
      <c r="AH511" s="2"/>
      <c r="AW511" s="2"/>
      <c r="AX511" s="2"/>
      <c r="AY511" s="2"/>
    </row>
    <row r="512" ht="15.75" customHeight="1">
      <c r="AH512" s="2"/>
      <c r="AW512" s="2"/>
      <c r="AX512" s="2"/>
      <c r="AY512" s="2"/>
    </row>
    <row r="513" ht="15.75" customHeight="1">
      <c r="AH513" s="2"/>
      <c r="AW513" s="2"/>
      <c r="AX513" s="2"/>
      <c r="AY513" s="2"/>
    </row>
    <row r="514" ht="15.75" customHeight="1">
      <c r="AH514" s="2"/>
      <c r="AW514" s="2"/>
      <c r="AX514" s="2"/>
      <c r="AY514" s="2"/>
    </row>
    <row r="515" ht="15.75" customHeight="1">
      <c r="AH515" s="2"/>
      <c r="AW515" s="2"/>
      <c r="AX515" s="2"/>
      <c r="AY515" s="2"/>
    </row>
    <row r="516" ht="15.75" customHeight="1">
      <c r="AH516" s="2"/>
      <c r="AW516" s="2"/>
      <c r="AX516" s="2"/>
      <c r="AY516" s="2"/>
    </row>
    <row r="517" ht="15.75" customHeight="1">
      <c r="AH517" s="2"/>
      <c r="AW517" s="2"/>
      <c r="AX517" s="2"/>
      <c r="AY517" s="2"/>
    </row>
    <row r="518" ht="15.75" customHeight="1">
      <c r="AH518" s="2"/>
      <c r="AW518" s="2"/>
      <c r="AX518" s="2"/>
      <c r="AY518" s="2"/>
    </row>
    <row r="519" ht="15.75" customHeight="1">
      <c r="AH519" s="2"/>
      <c r="AW519" s="2"/>
      <c r="AX519" s="2"/>
      <c r="AY519" s="2"/>
    </row>
    <row r="520" ht="15.75" customHeight="1">
      <c r="AH520" s="2"/>
      <c r="AW520" s="2"/>
      <c r="AX520" s="2"/>
      <c r="AY520" s="2"/>
    </row>
    <row r="521" ht="15.75" customHeight="1">
      <c r="AH521" s="2"/>
      <c r="AW521" s="2"/>
      <c r="AX521" s="2"/>
      <c r="AY521" s="2"/>
    </row>
    <row r="522" ht="15.75" customHeight="1">
      <c r="AH522" s="2"/>
      <c r="AW522" s="2"/>
      <c r="AX522" s="2"/>
      <c r="AY522" s="2"/>
    </row>
    <row r="523" ht="15.75" customHeight="1">
      <c r="AH523" s="2"/>
      <c r="AW523" s="2"/>
      <c r="AX523" s="2"/>
      <c r="AY523" s="2"/>
    </row>
    <row r="524" ht="15.75" customHeight="1">
      <c r="AH524" s="2"/>
      <c r="AW524" s="2"/>
      <c r="AX524" s="2"/>
      <c r="AY524" s="2"/>
    </row>
    <row r="525" ht="15.75" customHeight="1">
      <c r="AH525" s="2"/>
      <c r="AW525" s="2"/>
      <c r="AX525" s="2"/>
      <c r="AY525" s="2"/>
    </row>
    <row r="526" ht="15.75" customHeight="1">
      <c r="AH526" s="2"/>
      <c r="AW526" s="2"/>
      <c r="AX526" s="2"/>
      <c r="AY526" s="2"/>
    </row>
    <row r="527" ht="15.75" customHeight="1">
      <c r="AH527" s="2"/>
      <c r="AW527" s="2"/>
      <c r="AX527" s="2"/>
      <c r="AY527" s="2"/>
    </row>
    <row r="528" ht="15.75" customHeight="1">
      <c r="AH528" s="2"/>
      <c r="AW528" s="2"/>
      <c r="AX528" s="2"/>
      <c r="AY528" s="2"/>
    </row>
    <row r="529" ht="15.75" customHeight="1">
      <c r="AH529" s="2"/>
      <c r="AW529" s="2"/>
      <c r="AX529" s="2"/>
      <c r="AY529" s="2"/>
    </row>
    <row r="530" ht="15.75" customHeight="1">
      <c r="AH530" s="2"/>
      <c r="AW530" s="2"/>
      <c r="AX530" s="2"/>
      <c r="AY530" s="2"/>
    </row>
    <row r="531" ht="15.75" customHeight="1">
      <c r="AH531" s="2"/>
      <c r="AW531" s="2"/>
      <c r="AX531" s="2"/>
      <c r="AY531" s="2"/>
    </row>
    <row r="532" ht="15.75" customHeight="1">
      <c r="AH532" s="2"/>
      <c r="AW532" s="2"/>
      <c r="AX532" s="2"/>
      <c r="AY532" s="2"/>
    </row>
    <row r="533" ht="15.75" customHeight="1">
      <c r="AH533" s="2"/>
      <c r="AW533" s="2"/>
      <c r="AX533" s="2"/>
      <c r="AY533" s="2"/>
    </row>
    <row r="534" ht="15.75" customHeight="1">
      <c r="AH534" s="2"/>
      <c r="AW534" s="2"/>
      <c r="AX534" s="2"/>
      <c r="AY534" s="2"/>
    </row>
    <row r="535" ht="15.75" customHeight="1">
      <c r="AH535" s="2"/>
      <c r="AW535" s="2"/>
      <c r="AX535" s="2"/>
      <c r="AY535" s="2"/>
    </row>
    <row r="536" ht="15.75" customHeight="1">
      <c r="AH536" s="2"/>
      <c r="AW536" s="2"/>
      <c r="AX536" s="2"/>
      <c r="AY536" s="2"/>
    </row>
    <row r="537" ht="15.75" customHeight="1">
      <c r="AH537" s="2"/>
      <c r="AW537" s="2"/>
      <c r="AX537" s="2"/>
      <c r="AY537" s="2"/>
    </row>
    <row r="538" ht="15.75" customHeight="1">
      <c r="AH538" s="2"/>
      <c r="AW538" s="2"/>
      <c r="AX538" s="2"/>
      <c r="AY538" s="2"/>
    </row>
    <row r="539" ht="15.75" customHeight="1">
      <c r="AH539" s="2"/>
      <c r="AW539" s="2"/>
      <c r="AX539" s="2"/>
      <c r="AY539" s="2"/>
    </row>
    <row r="540" ht="15.75" customHeight="1">
      <c r="AH540" s="2"/>
      <c r="AW540" s="2"/>
      <c r="AX540" s="2"/>
      <c r="AY540" s="2"/>
    </row>
    <row r="541" ht="15.75" customHeight="1">
      <c r="AH541" s="2"/>
      <c r="AW541" s="2"/>
      <c r="AX541" s="2"/>
      <c r="AY541" s="2"/>
    </row>
    <row r="542" ht="15.75" customHeight="1">
      <c r="AH542" s="2"/>
      <c r="AW542" s="2"/>
      <c r="AX542" s="2"/>
      <c r="AY542" s="2"/>
    </row>
    <row r="543" ht="15.75" customHeight="1">
      <c r="AH543" s="2"/>
      <c r="AW543" s="2"/>
      <c r="AX543" s="2"/>
      <c r="AY543" s="2"/>
    </row>
    <row r="544" ht="15.75" customHeight="1">
      <c r="AH544" s="2"/>
      <c r="AW544" s="2"/>
      <c r="AX544" s="2"/>
      <c r="AY544" s="2"/>
    </row>
    <row r="545" ht="15.75" customHeight="1">
      <c r="AH545" s="2"/>
      <c r="AW545" s="2"/>
      <c r="AX545" s="2"/>
      <c r="AY545" s="2"/>
    </row>
    <row r="546" ht="15.75" customHeight="1">
      <c r="AH546" s="2"/>
      <c r="AW546" s="2"/>
      <c r="AX546" s="2"/>
      <c r="AY546" s="2"/>
    </row>
    <row r="547" ht="15.75" customHeight="1">
      <c r="AH547" s="2"/>
      <c r="AW547" s="2"/>
      <c r="AX547" s="2"/>
      <c r="AY547" s="2"/>
    </row>
    <row r="548" ht="15.75" customHeight="1">
      <c r="AH548" s="2"/>
      <c r="AW548" s="2"/>
      <c r="AX548" s="2"/>
      <c r="AY548" s="2"/>
    </row>
    <row r="549" ht="15.75" customHeight="1">
      <c r="AH549" s="2"/>
      <c r="AW549" s="2"/>
      <c r="AX549" s="2"/>
      <c r="AY549" s="2"/>
    </row>
    <row r="550" ht="15.75" customHeight="1">
      <c r="AH550" s="2"/>
      <c r="AW550" s="2"/>
      <c r="AX550" s="2"/>
      <c r="AY550" s="2"/>
    </row>
    <row r="551" ht="15.75" customHeight="1">
      <c r="AH551" s="2"/>
      <c r="AW551" s="2"/>
      <c r="AX551" s="2"/>
      <c r="AY551" s="2"/>
    </row>
    <row r="552" ht="15.75" customHeight="1">
      <c r="AH552" s="2"/>
      <c r="AW552" s="2"/>
      <c r="AX552" s="2"/>
      <c r="AY552" s="2"/>
    </row>
    <row r="553" ht="15.75" customHeight="1">
      <c r="AH553" s="2"/>
      <c r="AW553" s="2"/>
      <c r="AX553" s="2"/>
      <c r="AY553" s="2"/>
    </row>
    <row r="554" ht="15.75" customHeight="1">
      <c r="AH554" s="2"/>
      <c r="AW554" s="2"/>
      <c r="AX554" s="2"/>
      <c r="AY554" s="2"/>
    </row>
    <row r="555" ht="15.75" customHeight="1">
      <c r="AH555" s="2"/>
      <c r="AW555" s="2"/>
      <c r="AX555" s="2"/>
      <c r="AY555" s="2"/>
    </row>
    <row r="556" ht="15.75" customHeight="1">
      <c r="AH556" s="2"/>
      <c r="AW556" s="2"/>
      <c r="AX556" s="2"/>
      <c r="AY556" s="2"/>
    </row>
    <row r="557" ht="15.75" customHeight="1">
      <c r="AH557" s="2"/>
      <c r="AW557" s="2"/>
      <c r="AX557" s="2"/>
      <c r="AY557" s="2"/>
    </row>
    <row r="558" ht="15.75" customHeight="1">
      <c r="AH558" s="2"/>
      <c r="AW558" s="2"/>
      <c r="AX558" s="2"/>
      <c r="AY558" s="2"/>
    </row>
    <row r="559" ht="15.75" customHeight="1">
      <c r="AH559" s="2"/>
      <c r="AW559" s="2"/>
      <c r="AX559" s="2"/>
      <c r="AY559" s="2"/>
    </row>
    <row r="560" ht="15.75" customHeight="1">
      <c r="AH560" s="2"/>
      <c r="AW560" s="2"/>
      <c r="AX560" s="2"/>
      <c r="AY560" s="2"/>
    </row>
    <row r="561" ht="15.75" customHeight="1">
      <c r="AH561" s="2"/>
      <c r="AW561" s="2"/>
      <c r="AX561" s="2"/>
      <c r="AY561" s="2"/>
    </row>
    <row r="562" ht="15.75" customHeight="1">
      <c r="AH562" s="2"/>
      <c r="AW562" s="2"/>
      <c r="AX562" s="2"/>
      <c r="AY562" s="2"/>
    </row>
    <row r="563" ht="15.75" customHeight="1">
      <c r="AH563" s="2"/>
      <c r="AW563" s="2"/>
      <c r="AX563" s="2"/>
      <c r="AY563" s="2"/>
    </row>
    <row r="564" ht="15.75" customHeight="1">
      <c r="AH564" s="2"/>
      <c r="AW564" s="2"/>
      <c r="AX564" s="2"/>
      <c r="AY564" s="2"/>
    </row>
    <row r="565" ht="15.75" customHeight="1">
      <c r="AH565" s="2"/>
      <c r="AW565" s="2"/>
      <c r="AX565" s="2"/>
      <c r="AY565" s="2"/>
    </row>
    <row r="566" ht="15.75" customHeight="1">
      <c r="AH566" s="2"/>
      <c r="AW566" s="2"/>
      <c r="AX566" s="2"/>
      <c r="AY566" s="2"/>
    </row>
    <row r="567" ht="15.75" customHeight="1">
      <c r="AH567" s="2"/>
      <c r="AW567" s="2"/>
      <c r="AX567" s="2"/>
      <c r="AY567" s="2"/>
    </row>
    <row r="568" ht="15.75" customHeight="1">
      <c r="AH568" s="2"/>
      <c r="AW568" s="2"/>
      <c r="AX568" s="2"/>
      <c r="AY568" s="2"/>
    </row>
    <row r="569" ht="15.75" customHeight="1">
      <c r="AH569" s="2"/>
      <c r="AW569" s="2"/>
      <c r="AX569" s="2"/>
      <c r="AY569" s="2"/>
    </row>
    <row r="570" ht="15.75" customHeight="1">
      <c r="AH570" s="2"/>
      <c r="AW570" s="2"/>
      <c r="AX570" s="2"/>
      <c r="AY570" s="2"/>
    </row>
    <row r="571" ht="15.75" customHeight="1">
      <c r="AH571" s="2"/>
      <c r="AW571" s="2"/>
      <c r="AX571" s="2"/>
      <c r="AY571" s="2"/>
    </row>
    <row r="572" ht="15.75" customHeight="1">
      <c r="AH572" s="2"/>
      <c r="AW572" s="2"/>
      <c r="AX572" s="2"/>
      <c r="AY572" s="2"/>
    </row>
    <row r="573" ht="15.75" customHeight="1">
      <c r="AH573" s="2"/>
      <c r="AW573" s="2"/>
      <c r="AX573" s="2"/>
      <c r="AY573" s="2"/>
    </row>
    <row r="574" ht="15.75" customHeight="1">
      <c r="AH574" s="2"/>
      <c r="AW574" s="2"/>
      <c r="AX574" s="2"/>
      <c r="AY574" s="2"/>
    </row>
    <row r="575" ht="15.75" customHeight="1">
      <c r="AH575" s="2"/>
      <c r="AW575" s="2"/>
      <c r="AX575" s="2"/>
      <c r="AY575" s="2"/>
    </row>
    <row r="576" ht="15.75" customHeight="1">
      <c r="AH576" s="2"/>
      <c r="AW576" s="2"/>
      <c r="AX576" s="2"/>
      <c r="AY576" s="2"/>
    </row>
    <row r="577" ht="15.75" customHeight="1">
      <c r="AH577" s="2"/>
      <c r="AW577" s="2"/>
      <c r="AX577" s="2"/>
      <c r="AY577" s="2"/>
    </row>
    <row r="578" ht="15.75" customHeight="1">
      <c r="AH578" s="2"/>
      <c r="AW578" s="2"/>
      <c r="AX578" s="2"/>
      <c r="AY578" s="2"/>
    </row>
    <row r="579" ht="15.75" customHeight="1">
      <c r="AH579" s="2"/>
      <c r="AW579" s="2"/>
      <c r="AX579" s="2"/>
      <c r="AY579" s="2"/>
    </row>
    <row r="580" ht="15.75" customHeight="1">
      <c r="AH580" s="2"/>
      <c r="AW580" s="2"/>
      <c r="AX580" s="2"/>
      <c r="AY580" s="2"/>
    </row>
    <row r="581" ht="15.75" customHeight="1">
      <c r="AH581" s="2"/>
      <c r="AW581" s="2"/>
      <c r="AX581" s="2"/>
      <c r="AY581" s="2"/>
    </row>
    <row r="582" ht="15.75" customHeight="1">
      <c r="AH582" s="2"/>
      <c r="AW582" s="2"/>
      <c r="AX582" s="2"/>
      <c r="AY582" s="2"/>
    </row>
    <row r="583" ht="15.75" customHeight="1">
      <c r="AH583" s="2"/>
      <c r="AW583" s="2"/>
      <c r="AX583" s="2"/>
      <c r="AY583" s="2"/>
    </row>
    <row r="584" ht="15.75" customHeight="1">
      <c r="AH584" s="2"/>
      <c r="AW584" s="2"/>
      <c r="AX584" s="2"/>
      <c r="AY584" s="2"/>
    </row>
    <row r="585" ht="15.75" customHeight="1">
      <c r="AH585" s="2"/>
      <c r="AW585" s="2"/>
      <c r="AX585" s="2"/>
      <c r="AY585" s="2"/>
    </row>
    <row r="586" ht="15.75" customHeight="1">
      <c r="AH586" s="2"/>
      <c r="AW586" s="2"/>
      <c r="AX586" s="2"/>
      <c r="AY586" s="2"/>
    </row>
    <row r="587" ht="15.75" customHeight="1">
      <c r="AH587" s="2"/>
      <c r="AW587" s="2"/>
      <c r="AX587" s="2"/>
      <c r="AY587" s="2"/>
    </row>
    <row r="588" ht="15.75" customHeight="1">
      <c r="AH588" s="2"/>
      <c r="AW588" s="2"/>
      <c r="AX588" s="2"/>
      <c r="AY588" s="2"/>
    </row>
    <row r="589" ht="15.75" customHeight="1">
      <c r="AH589" s="2"/>
      <c r="AW589" s="2"/>
      <c r="AX589" s="2"/>
      <c r="AY589" s="2"/>
    </row>
    <row r="590" ht="15.75" customHeight="1">
      <c r="AH590" s="2"/>
      <c r="AW590" s="2"/>
      <c r="AX590" s="2"/>
      <c r="AY590" s="2"/>
    </row>
    <row r="591" ht="15.75" customHeight="1">
      <c r="AH591" s="2"/>
      <c r="AW591" s="2"/>
      <c r="AX591" s="2"/>
      <c r="AY591" s="2"/>
    </row>
    <row r="592" ht="15.75" customHeight="1">
      <c r="AH592" s="2"/>
      <c r="AW592" s="2"/>
      <c r="AX592" s="2"/>
      <c r="AY592" s="2"/>
    </row>
    <row r="593" ht="15.75" customHeight="1">
      <c r="AH593" s="2"/>
      <c r="AW593" s="2"/>
      <c r="AX593" s="2"/>
      <c r="AY593" s="2"/>
    </row>
    <row r="594" ht="15.75" customHeight="1">
      <c r="AH594" s="2"/>
      <c r="AW594" s="2"/>
      <c r="AX594" s="2"/>
      <c r="AY594" s="2"/>
    </row>
    <row r="595" ht="15.75" customHeight="1">
      <c r="AH595" s="2"/>
      <c r="AW595" s="2"/>
      <c r="AX595" s="2"/>
      <c r="AY595" s="2"/>
    </row>
    <row r="596" ht="15.75" customHeight="1">
      <c r="AH596" s="2"/>
      <c r="AW596" s="2"/>
      <c r="AX596" s="2"/>
      <c r="AY596" s="2"/>
    </row>
    <row r="597" ht="15.75" customHeight="1">
      <c r="AH597" s="2"/>
      <c r="AW597" s="2"/>
      <c r="AX597" s="2"/>
      <c r="AY597" s="2"/>
    </row>
    <row r="598" ht="15.75" customHeight="1">
      <c r="AH598" s="2"/>
      <c r="AW598" s="2"/>
      <c r="AX598" s="2"/>
      <c r="AY598" s="2"/>
    </row>
    <row r="599" ht="15.75" customHeight="1">
      <c r="AH599" s="2"/>
      <c r="AW599" s="2"/>
      <c r="AX599" s="2"/>
      <c r="AY599" s="2"/>
    </row>
    <row r="600" ht="15.75" customHeight="1">
      <c r="AH600" s="2"/>
      <c r="AW600" s="2"/>
      <c r="AX600" s="2"/>
      <c r="AY600" s="2"/>
    </row>
    <row r="601" ht="15.75" customHeight="1">
      <c r="AH601" s="2"/>
      <c r="AW601" s="2"/>
      <c r="AX601" s="2"/>
      <c r="AY601" s="2"/>
    </row>
    <row r="602" ht="15.75" customHeight="1">
      <c r="AH602" s="2"/>
      <c r="AW602" s="2"/>
      <c r="AX602" s="2"/>
      <c r="AY602" s="2"/>
    </row>
    <row r="603" ht="15.75" customHeight="1">
      <c r="AH603" s="2"/>
      <c r="AW603" s="2"/>
      <c r="AX603" s="2"/>
      <c r="AY603" s="2"/>
    </row>
    <row r="604" ht="15.75" customHeight="1">
      <c r="AH604" s="2"/>
      <c r="AW604" s="2"/>
      <c r="AX604" s="2"/>
      <c r="AY604" s="2"/>
    </row>
    <row r="605" ht="15.75" customHeight="1">
      <c r="AH605" s="2"/>
      <c r="AW605" s="2"/>
      <c r="AX605" s="2"/>
      <c r="AY605" s="2"/>
    </row>
    <row r="606" ht="15.75" customHeight="1">
      <c r="AH606" s="2"/>
      <c r="AW606" s="2"/>
      <c r="AX606" s="2"/>
      <c r="AY606" s="2"/>
    </row>
    <row r="607" ht="15.75" customHeight="1">
      <c r="AH607" s="2"/>
      <c r="AW607" s="2"/>
      <c r="AX607" s="2"/>
      <c r="AY607" s="2"/>
    </row>
    <row r="608" ht="15.75" customHeight="1">
      <c r="AH608" s="2"/>
      <c r="AW608" s="2"/>
      <c r="AX608" s="2"/>
      <c r="AY608" s="2"/>
    </row>
    <row r="609" ht="15.75" customHeight="1">
      <c r="AH609" s="2"/>
      <c r="AW609" s="2"/>
      <c r="AX609" s="2"/>
      <c r="AY609" s="2"/>
    </row>
    <row r="610" ht="15.75" customHeight="1">
      <c r="AH610" s="2"/>
      <c r="AW610" s="2"/>
      <c r="AX610" s="2"/>
      <c r="AY610" s="2"/>
    </row>
    <row r="611" ht="15.75" customHeight="1">
      <c r="AH611" s="2"/>
      <c r="AW611" s="2"/>
      <c r="AX611" s="2"/>
      <c r="AY611" s="2"/>
    </row>
    <row r="612" ht="15.75" customHeight="1">
      <c r="AH612" s="2"/>
      <c r="AW612" s="2"/>
      <c r="AX612" s="2"/>
      <c r="AY612" s="2"/>
    </row>
    <row r="613" ht="15.75" customHeight="1">
      <c r="AH613" s="2"/>
      <c r="AW613" s="2"/>
      <c r="AX613" s="2"/>
      <c r="AY613" s="2"/>
    </row>
    <row r="614" ht="15.75" customHeight="1">
      <c r="AH614" s="2"/>
      <c r="AW614" s="2"/>
      <c r="AX614" s="2"/>
      <c r="AY614" s="2"/>
    </row>
    <row r="615" ht="15.75" customHeight="1">
      <c r="AH615" s="2"/>
      <c r="AW615" s="2"/>
      <c r="AX615" s="2"/>
      <c r="AY615" s="2"/>
    </row>
    <row r="616" ht="15.75" customHeight="1">
      <c r="AH616" s="2"/>
      <c r="AW616" s="2"/>
      <c r="AX616" s="2"/>
      <c r="AY616" s="2"/>
    </row>
    <row r="617" ht="15.75" customHeight="1">
      <c r="AH617" s="2"/>
      <c r="AW617" s="2"/>
      <c r="AX617" s="2"/>
      <c r="AY617" s="2"/>
    </row>
    <row r="618" ht="15.75" customHeight="1">
      <c r="AH618" s="2"/>
      <c r="AW618" s="2"/>
      <c r="AX618" s="2"/>
      <c r="AY618" s="2"/>
    </row>
    <row r="619" ht="15.75" customHeight="1">
      <c r="AH619" s="2"/>
      <c r="AW619" s="2"/>
      <c r="AX619" s="2"/>
      <c r="AY619" s="2"/>
    </row>
    <row r="620" ht="15.75" customHeight="1">
      <c r="AH620" s="2"/>
      <c r="AW620" s="2"/>
      <c r="AX620" s="2"/>
      <c r="AY620" s="2"/>
    </row>
    <row r="621" ht="15.75" customHeight="1">
      <c r="AH621" s="2"/>
      <c r="AW621" s="2"/>
      <c r="AX621" s="2"/>
      <c r="AY621" s="2"/>
    </row>
    <row r="622" ht="15.75" customHeight="1">
      <c r="AH622" s="2"/>
      <c r="AW622" s="2"/>
      <c r="AX622" s="2"/>
      <c r="AY622" s="2"/>
    </row>
    <row r="623" ht="15.75" customHeight="1">
      <c r="AH623" s="2"/>
      <c r="AW623" s="2"/>
      <c r="AX623" s="2"/>
      <c r="AY623" s="2"/>
    </row>
    <row r="624" ht="15.75" customHeight="1">
      <c r="AH624" s="2"/>
      <c r="AW624" s="2"/>
      <c r="AX624" s="2"/>
      <c r="AY624" s="2"/>
    </row>
    <row r="625" ht="15.75" customHeight="1">
      <c r="AH625" s="2"/>
      <c r="AW625" s="2"/>
      <c r="AX625" s="2"/>
      <c r="AY625" s="2"/>
    </row>
    <row r="626" ht="15.75" customHeight="1">
      <c r="AH626" s="2"/>
      <c r="AW626" s="2"/>
      <c r="AX626" s="2"/>
      <c r="AY626" s="2"/>
    </row>
    <row r="627" ht="15.75" customHeight="1">
      <c r="AH627" s="2"/>
      <c r="AW627" s="2"/>
      <c r="AX627" s="2"/>
      <c r="AY627" s="2"/>
    </row>
    <row r="628" ht="15.75" customHeight="1">
      <c r="AH628" s="2"/>
      <c r="AW628" s="2"/>
      <c r="AX628" s="2"/>
      <c r="AY628" s="2"/>
    </row>
    <row r="629" ht="15.75" customHeight="1">
      <c r="AH629" s="2"/>
      <c r="AW629" s="2"/>
      <c r="AX629" s="2"/>
      <c r="AY629" s="2"/>
    </row>
    <row r="630" ht="15.75" customHeight="1">
      <c r="AH630" s="2"/>
      <c r="AW630" s="2"/>
      <c r="AX630" s="2"/>
      <c r="AY630" s="2"/>
    </row>
    <row r="631" ht="15.75" customHeight="1">
      <c r="AH631" s="2"/>
      <c r="AW631" s="2"/>
      <c r="AX631" s="2"/>
      <c r="AY631" s="2"/>
    </row>
    <row r="632" ht="15.75" customHeight="1">
      <c r="AH632" s="2"/>
      <c r="AW632" s="2"/>
      <c r="AX632" s="2"/>
      <c r="AY632" s="2"/>
    </row>
    <row r="633" ht="15.75" customHeight="1">
      <c r="AH633" s="2"/>
      <c r="AW633" s="2"/>
      <c r="AX633" s="2"/>
      <c r="AY633" s="2"/>
    </row>
    <row r="634" ht="15.75" customHeight="1">
      <c r="AH634" s="2"/>
      <c r="AW634" s="2"/>
      <c r="AX634" s="2"/>
      <c r="AY634" s="2"/>
    </row>
    <row r="635" ht="15.75" customHeight="1">
      <c r="AH635" s="2"/>
      <c r="AW635" s="2"/>
      <c r="AX635" s="2"/>
      <c r="AY635" s="2"/>
    </row>
    <row r="636" ht="15.75" customHeight="1">
      <c r="AH636" s="2"/>
      <c r="AW636" s="2"/>
      <c r="AX636" s="2"/>
      <c r="AY636" s="2"/>
    </row>
    <row r="637" ht="15.75" customHeight="1">
      <c r="AH637" s="2"/>
      <c r="AW637" s="2"/>
      <c r="AX637" s="2"/>
      <c r="AY637" s="2"/>
    </row>
    <row r="638" ht="15.75" customHeight="1">
      <c r="AH638" s="2"/>
      <c r="AW638" s="2"/>
      <c r="AX638" s="2"/>
      <c r="AY638" s="2"/>
    </row>
    <row r="639" ht="15.75" customHeight="1">
      <c r="AH639" s="2"/>
      <c r="AW639" s="2"/>
      <c r="AX639" s="2"/>
      <c r="AY639" s="2"/>
    </row>
    <row r="640" ht="15.75" customHeight="1">
      <c r="AH640" s="2"/>
      <c r="AW640" s="2"/>
      <c r="AX640" s="2"/>
      <c r="AY640" s="2"/>
    </row>
    <row r="641" ht="15.75" customHeight="1">
      <c r="AH641" s="2"/>
      <c r="AW641" s="2"/>
      <c r="AX641" s="2"/>
      <c r="AY641" s="2"/>
    </row>
    <row r="642" ht="15.75" customHeight="1">
      <c r="AH642" s="2"/>
      <c r="AW642" s="2"/>
      <c r="AX642" s="2"/>
      <c r="AY642" s="2"/>
    </row>
    <row r="643" ht="15.75" customHeight="1">
      <c r="AH643" s="2"/>
      <c r="AW643" s="2"/>
      <c r="AX643" s="2"/>
      <c r="AY643" s="2"/>
    </row>
    <row r="644" ht="15.75" customHeight="1">
      <c r="AH644" s="2"/>
      <c r="AW644" s="2"/>
      <c r="AX644" s="2"/>
      <c r="AY644" s="2"/>
    </row>
    <row r="645" ht="15.75" customHeight="1">
      <c r="AH645" s="2"/>
      <c r="AW645" s="2"/>
      <c r="AX645" s="2"/>
      <c r="AY645" s="2"/>
    </row>
    <row r="646" ht="15.75" customHeight="1">
      <c r="AH646" s="2"/>
      <c r="AW646" s="2"/>
      <c r="AX646" s="2"/>
      <c r="AY646" s="2"/>
    </row>
    <row r="647" ht="15.75" customHeight="1">
      <c r="AH647" s="2"/>
      <c r="AW647" s="2"/>
      <c r="AX647" s="2"/>
      <c r="AY647" s="2"/>
    </row>
    <row r="648" ht="15.75" customHeight="1">
      <c r="AH648" s="2"/>
      <c r="AW648" s="2"/>
      <c r="AX648" s="2"/>
      <c r="AY648" s="2"/>
    </row>
    <row r="649" ht="15.75" customHeight="1">
      <c r="AH649" s="2"/>
      <c r="AW649" s="2"/>
      <c r="AX649" s="2"/>
      <c r="AY649" s="2"/>
    </row>
    <row r="650" ht="15.75" customHeight="1">
      <c r="AH650" s="2"/>
      <c r="AW650" s="2"/>
      <c r="AX650" s="2"/>
      <c r="AY650" s="2"/>
    </row>
    <row r="651" ht="15.75" customHeight="1">
      <c r="AH651" s="2"/>
      <c r="AW651" s="2"/>
      <c r="AX651" s="2"/>
      <c r="AY651" s="2"/>
    </row>
    <row r="652" ht="15.75" customHeight="1">
      <c r="AH652" s="2"/>
      <c r="AW652" s="2"/>
      <c r="AX652" s="2"/>
      <c r="AY652" s="2"/>
    </row>
    <row r="653" ht="15.75" customHeight="1">
      <c r="AH653" s="2"/>
      <c r="AW653" s="2"/>
      <c r="AX653" s="2"/>
      <c r="AY653" s="2"/>
    </row>
    <row r="654" ht="15.75" customHeight="1">
      <c r="AH654" s="2"/>
      <c r="AW654" s="2"/>
      <c r="AX654" s="2"/>
      <c r="AY654" s="2"/>
    </row>
    <row r="655" ht="15.75" customHeight="1">
      <c r="AH655" s="2"/>
      <c r="AW655" s="2"/>
      <c r="AX655" s="2"/>
      <c r="AY655" s="2"/>
    </row>
    <row r="656" ht="15.75" customHeight="1">
      <c r="AH656" s="2"/>
      <c r="AW656" s="2"/>
      <c r="AX656" s="2"/>
      <c r="AY656" s="2"/>
    </row>
    <row r="657" ht="15.75" customHeight="1">
      <c r="AH657" s="2"/>
      <c r="AW657" s="2"/>
      <c r="AX657" s="2"/>
      <c r="AY657" s="2"/>
    </row>
    <row r="658" ht="15.75" customHeight="1">
      <c r="AH658" s="2"/>
      <c r="AW658" s="2"/>
      <c r="AX658" s="2"/>
      <c r="AY658" s="2"/>
    </row>
    <row r="659" ht="15.75" customHeight="1">
      <c r="AH659" s="2"/>
      <c r="AW659" s="2"/>
      <c r="AX659" s="2"/>
      <c r="AY659" s="2"/>
    </row>
    <row r="660" ht="15.75" customHeight="1">
      <c r="AH660" s="2"/>
      <c r="AW660" s="2"/>
      <c r="AX660" s="2"/>
      <c r="AY660" s="2"/>
    </row>
    <row r="661" ht="15.75" customHeight="1">
      <c r="AH661" s="2"/>
      <c r="AW661" s="2"/>
      <c r="AX661" s="2"/>
      <c r="AY661" s="2"/>
    </row>
    <row r="662" ht="15.75" customHeight="1">
      <c r="AH662" s="2"/>
      <c r="AW662" s="2"/>
      <c r="AX662" s="2"/>
      <c r="AY662" s="2"/>
    </row>
    <row r="663" ht="15.75" customHeight="1">
      <c r="AH663" s="2"/>
      <c r="AW663" s="2"/>
      <c r="AX663" s="2"/>
      <c r="AY663" s="2"/>
    </row>
    <row r="664" ht="15.75" customHeight="1">
      <c r="AH664" s="2"/>
      <c r="AW664" s="2"/>
      <c r="AX664" s="2"/>
      <c r="AY664" s="2"/>
    </row>
    <row r="665" ht="15.75" customHeight="1">
      <c r="AH665" s="2"/>
      <c r="AW665" s="2"/>
      <c r="AX665" s="2"/>
      <c r="AY665" s="2"/>
    </row>
    <row r="666" ht="15.75" customHeight="1">
      <c r="AH666" s="2"/>
      <c r="AW666" s="2"/>
      <c r="AX666" s="2"/>
      <c r="AY666" s="2"/>
    </row>
    <row r="667" ht="15.75" customHeight="1">
      <c r="AH667" s="2"/>
      <c r="AW667" s="2"/>
      <c r="AX667" s="2"/>
      <c r="AY667" s="2"/>
    </row>
    <row r="668" ht="15.75" customHeight="1">
      <c r="AH668" s="2"/>
      <c r="AW668" s="2"/>
      <c r="AX668" s="2"/>
      <c r="AY668" s="2"/>
    </row>
    <row r="669" ht="15.75" customHeight="1">
      <c r="AH669" s="2"/>
      <c r="AW669" s="2"/>
      <c r="AX669" s="2"/>
      <c r="AY669" s="2"/>
    </row>
    <row r="670" ht="15.75" customHeight="1">
      <c r="AH670" s="2"/>
      <c r="AW670" s="2"/>
      <c r="AX670" s="2"/>
      <c r="AY670" s="2"/>
    </row>
    <row r="671" ht="15.75" customHeight="1">
      <c r="AH671" s="2"/>
      <c r="AW671" s="2"/>
      <c r="AX671" s="2"/>
      <c r="AY671" s="2"/>
    </row>
    <row r="672" ht="15.75" customHeight="1">
      <c r="AH672" s="2"/>
      <c r="AW672" s="2"/>
      <c r="AX672" s="2"/>
      <c r="AY672" s="2"/>
    </row>
    <row r="673" ht="15.75" customHeight="1">
      <c r="AH673" s="2"/>
      <c r="AW673" s="2"/>
      <c r="AX673" s="2"/>
      <c r="AY673" s="2"/>
    </row>
    <row r="674" ht="15.75" customHeight="1">
      <c r="AH674" s="2"/>
      <c r="AW674" s="2"/>
      <c r="AX674" s="2"/>
      <c r="AY674" s="2"/>
    </row>
    <row r="675" ht="15.75" customHeight="1">
      <c r="AH675" s="2"/>
      <c r="AW675" s="2"/>
      <c r="AX675" s="2"/>
      <c r="AY675" s="2"/>
    </row>
    <row r="676" ht="15.75" customHeight="1">
      <c r="AH676" s="2"/>
      <c r="AW676" s="2"/>
      <c r="AX676" s="2"/>
      <c r="AY676" s="2"/>
    </row>
    <row r="677" ht="15.75" customHeight="1">
      <c r="AH677" s="2"/>
      <c r="AW677" s="2"/>
      <c r="AX677" s="2"/>
      <c r="AY677" s="2"/>
    </row>
    <row r="678" ht="15.75" customHeight="1">
      <c r="AH678" s="2"/>
      <c r="AW678" s="2"/>
      <c r="AX678" s="2"/>
      <c r="AY678" s="2"/>
    </row>
    <row r="679" ht="15.75" customHeight="1">
      <c r="AH679" s="2"/>
      <c r="AW679" s="2"/>
      <c r="AX679" s="2"/>
      <c r="AY679" s="2"/>
    </row>
    <row r="680" ht="15.75" customHeight="1">
      <c r="AH680" s="2"/>
      <c r="AW680" s="2"/>
      <c r="AX680" s="2"/>
      <c r="AY680" s="2"/>
    </row>
    <row r="681" ht="15.75" customHeight="1">
      <c r="AH681" s="2"/>
      <c r="AW681" s="2"/>
      <c r="AX681" s="2"/>
      <c r="AY681" s="2"/>
    </row>
    <row r="682" ht="15.75" customHeight="1">
      <c r="AH682" s="2"/>
      <c r="AW682" s="2"/>
      <c r="AX682" s="2"/>
      <c r="AY682" s="2"/>
    </row>
    <row r="683" ht="15.75" customHeight="1">
      <c r="AH683" s="2"/>
      <c r="AW683" s="2"/>
      <c r="AX683" s="2"/>
      <c r="AY683" s="2"/>
    </row>
    <row r="684" ht="15.75" customHeight="1">
      <c r="AH684" s="2"/>
      <c r="AW684" s="2"/>
      <c r="AX684" s="2"/>
      <c r="AY684" s="2"/>
    </row>
    <row r="685" ht="15.75" customHeight="1">
      <c r="AH685" s="2"/>
      <c r="AW685" s="2"/>
      <c r="AX685" s="2"/>
      <c r="AY685" s="2"/>
    </row>
    <row r="686" ht="15.75" customHeight="1">
      <c r="AH686" s="2"/>
      <c r="AW686" s="2"/>
      <c r="AX686" s="2"/>
      <c r="AY686" s="2"/>
    </row>
    <row r="687" ht="15.75" customHeight="1">
      <c r="AH687" s="2"/>
      <c r="AW687" s="2"/>
      <c r="AX687" s="2"/>
      <c r="AY687" s="2"/>
    </row>
    <row r="688" ht="15.75" customHeight="1">
      <c r="AH688" s="2"/>
      <c r="AW688" s="2"/>
      <c r="AX688" s="2"/>
      <c r="AY688" s="2"/>
    </row>
    <row r="689" ht="15.75" customHeight="1">
      <c r="AH689" s="2"/>
      <c r="AW689" s="2"/>
      <c r="AX689" s="2"/>
      <c r="AY689" s="2"/>
    </row>
    <row r="690" ht="15.75" customHeight="1">
      <c r="AH690" s="2"/>
      <c r="AW690" s="2"/>
      <c r="AX690" s="2"/>
      <c r="AY690" s="2"/>
    </row>
    <row r="691" ht="15.75" customHeight="1">
      <c r="AH691" s="2"/>
      <c r="AW691" s="2"/>
      <c r="AX691" s="2"/>
      <c r="AY691" s="2"/>
    </row>
    <row r="692" ht="15.75" customHeight="1">
      <c r="AH692" s="2"/>
      <c r="AW692" s="2"/>
      <c r="AX692" s="2"/>
      <c r="AY692" s="2"/>
    </row>
    <row r="693" ht="15.75" customHeight="1">
      <c r="AH693" s="2"/>
      <c r="AW693" s="2"/>
      <c r="AX693" s="2"/>
      <c r="AY693" s="2"/>
    </row>
    <row r="694" ht="15.75" customHeight="1">
      <c r="AH694" s="2"/>
      <c r="AW694" s="2"/>
      <c r="AX694" s="2"/>
      <c r="AY694" s="2"/>
    </row>
    <row r="695" ht="15.75" customHeight="1">
      <c r="AH695" s="2"/>
      <c r="AW695" s="2"/>
      <c r="AX695" s="2"/>
      <c r="AY695" s="2"/>
    </row>
    <row r="696" ht="15.75" customHeight="1">
      <c r="AH696" s="2"/>
      <c r="AW696" s="2"/>
      <c r="AX696" s="2"/>
      <c r="AY696" s="2"/>
    </row>
    <row r="697" ht="15.75" customHeight="1">
      <c r="AH697" s="2"/>
      <c r="AW697" s="2"/>
      <c r="AX697" s="2"/>
      <c r="AY697" s="2"/>
    </row>
    <row r="698" ht="15.75" customHeight="1">
      <c r="AH698" s="2"/>
      <c r="AW698" s="2"/>
      <c r="AX698" s="2"/>
      <c r="AY698" s="2"/>
    </row>
    <row r="699" ht="15.75" customHeight="1">
      <c r="AH699" s="2"/>
      <c r="AW699" s="2"/>
      <c r="AX699" s="2"/>
      <c r="AY699" s="2"/>
    </row>
    <row r="700" ht="15.75" customHeight="1">
      <c r="AH700" s="2"/>
      <c r="AW700" s="2"/>
      <c r="AX700" s="2"/>
      <c r="AY700" s="2"/>
    </row>
    <row r="701" ht="15.75" customHeight="1">
      <c r="AH701" s="2"/>
      <c r="AW701" s="2"/>
      <c r="AX701" s="2"/>
      <c r="AY701" s="2"/>
    </row>
    <row r="702" ht="15.75" customHeight="1">
      <c r="AH702" s="2"/>
      <c r="AW702" s="2"/>
      <c r="AX702" s="2"/>
      <c r="AY702" s="2"/>
    </row>
    <row r="703" ht="15.75" customHeight="1">
      <c r="AH703" s="2"/>
      <c r="AW703" s="2"/>
      <c r="AX703" s="2"/>
      <c r="AY703" s="2"/>
    </row>
    <row r="704" ht="15.75" customHeight="1">
      <c r="AH704" s="2"/>
      <c r="AW704" s="2"/>
      <c r="AX704" s="2"/>
      <c r="AY704" s="2"/>
    </row>
    <row r="705" ht="15.75" customHeight="1">
      <c r="AH705" s="2"/>
      <c r="AW705" s="2"/>
      <c r="AX705" s="2"/>
      <c r="AY705" s="2"/>
    </row>
    <row r="706" ht="15.75" customHeight="1">
      <c r="AH706" s="2"/>
      <c r="AW706" s="2"/>
      <c r="AX706" s="2"/>
      <c r="AY706" s="2"/>
    </row>
    <row r="707" ht="15.75" customHeight="1">
      <c r="AH707" s="2"/>
      <c r="AW707" s="2"/>
      <c r="AX707" s="2"/>
      <c r="AY707" s="2"/>
    </row>
    <row r="708" ht="15.75" customHeight="1">
      <c r="AH708" s="2"/>
      <c r="AW708" s="2"/>
      <c r="AX708" s="2"/>
      <c r="AY708" s="2"/>
    </row>
    <row r="709" ht="15.75" customHeight="1">
      <c r="AH709" s="2"/>
      <c r="AW709" s="2"/>
      <c r="AX709" s="2"/>
      <c r="AY709" s="2"/>
    </row>
    <row r="710" ht="15.75" customHeight="1">
      <c r="AH710" s="2"/>
      <c r="AW710" s="2"/>
      <c r="AX710" s="2"/>
      <c r="AY710" s="2"/>
    </row>
    <row r="711" ht="15.75" customHeight="1">
      <c r="AH711" s="2"/>
      <c r="AW711" s="2"/>
      <c r="AX711" s="2"/>
      <c r="AY711" s="2"/>
    </row>
    <row r="712" ht="15.75" customHeight="1">
      <c r="AH712" s="2"/>
      <c r="AW712" s="2"/>
      <c r="AX712" s="2"/>
      <c r="AY712" s="2"/>
    </row>
    <row r="713" ht="15.75" customHeight="1">
      <c r="AH713" s="2"/>
      <c r="AW713" s="2"/>
      <c r="AX713" s="2"/>
      <c r="AY713" s="2"/>
    </row>
    <row r="714" ht="15.75" customHeight="1">
      <c r="AH714" s="2"/>
      <c r="AW714" s="2"/>
      <c r="AX714" s="2"/>
      <c r="AY714" s="2"/>
    </row>
    <row r="715" ht="15.75" customHeight="1">
      <c r="AH715" s="2"/>
      <c r="AW715" s="2"/>
      <c r="AX715" s="2"/>
      <c r="AY715" s="2"/>
    </row>
    <row r="716" ht="15.75" customHeight="1">
      <c r="AH716" s="2"/>
      <c r="AW716" s="2"/>
      <c r="AX716" s="2"/>
      <c r="AY716" s="2"/>
    </row>
    <row r="717" ht="15.75" customHeight="1">
      <c r="AH717" s="2"/>
      <c r="AW717" s="2"/>
      <c r="AX717" s="2"/>
      <c r="AY717" s="2"/>
    </row>
    <row r="718" ht="15.75" customHeight="1">
      <c r="AH718" s="2"/>
      <c r="AW718" s="2"/>
      <c r="AX718" s="2"/>
      <c r="AY718" s="2"/>
    </row>
    <row r="719" ht="15.75" customHeight="1">
      <c r="AH719" s="2"/>
      <c r="AW719" s="2"/>
      <c r="AX719" s="2"/>
      <c r="AY719" s="2"/>
    </row>
    <row r="720" ht="15.75" customHeight="1">
      <c r="AH720" s="2"/>
      <c r="AW720" s="2"/>
      <c r="AX720" s="2"/>
      <c r="AY720" s="2"/>
    </row>
    <row r="721" ht="15.75" customHeight="1">
      <c r="AH721" s="2"/>
      <c r="AW721" s="2"/>
      <c r="AX721" s="2"/>
      <c r="AY721" s="2"/>
    </row>
    <row r="722" ht="15.75" customHeight="1">
      <c r="AH722" s="2"/>
      <c r="AW722" s="2"/>
      <c r="AX722" s="2"/>
      <c r="AY722" s="2"/>
    </row>
    <row r="723" ht="15.75" customHeight="1">
      <c r="AH723" s="2"/>
      <c r="AW723" s="2"/>
      <c r="AX723" s="2"/>
      <c r="AY723" s="2"/>
    </row>
    <row r="724" ht="15.75" customHeight="1">
      <c r="AH724" s="2"/>
      <c r="AW724" s="2"/>
      <c r="AX724" s="2"/>
      <c r="AY724" s="2"/>
    </row>
    <row r="725" ht="15.75" customHeight="1">
      <c r="AH725" s="2"/>
      <c r="AW725" s="2"/>
      <c r="AX725" s="2"/>
      <c r="AY725" s="2"/>
    </row>
    <row r="726" ht="15.75" customHeight="1">
      <c r="AH726" s="2"/>
      <c r="AW726" s="2"/>
      <c r="AX726" s="2"/>
      <c r="AY726" s="2"/>
    </row>
    <row r="727" ht="15.75" customHeight="1">
      <c r="AH727" s="2"/>
      <c r="AW727" s="2"/>
      <c r="AX727" s="2"/>
      <c r="AY727" s="2"/>
    </row>
    <row r="728" ht="15.75" customHeight="1">
      <c r="AH728" s="2"/>
      <c r="AW728" s="2"/>
      <c r="AX728" s="2"/>
      <c r="AY728" s="2"/>
    </row>
    <row r="729" ht="15.75" customHeight="1">
      <c r="AH729" s="2"/>
      <c r="AW729" s="2"/>
      <c r="AX729" s="2"/>
      <c r="AY729" s="2"/>
    </row>
    <row r="730" ht="15.75" customHeight="1">
      <c r="AH730" s="2"/>
      <c r="AW730" s="2"/>
      <c r="AX730" s="2"/>
      <c r="AY730" s="2"/>
    </row>
    <row r="731" ht="15.75" customHeight="1">
      <c r="AH731" s="2"/>
      <c r="AW731" s="2"/>
      <c r="AX731" s="2"/>
      <c r="AY731" s="2"/>
    </row>
    <row r="732" ht="15.75" customHeight="1">
      <c r="AH732" s="2"/>
      <c r="AW732" s="2"/>
      <c r="AX732" s="2"/>
      <c r="AY732" s="2"/>
    </row>
    <row r="733" ht="15.75" customHeight="1">
      <c r="AH733" s="2"/>
      <c r="AW733" s="2"/>
      <c r="AX733" s="2"/>
      <c r="AY733" s="2"/>
    </row>
    <row r="734" ht="15.75" customHeight="1">
      <c r="AH734" s="2"/>
      <c r="AW734" s="2"/>
      <c r="AX734" s="2"/>
      <c r="AY734" s="2"/>
    </row>
    <row r="735" ht="15.75" customHeight="1">
      <c r="AH735" s="2"/>
      <c r="AW735" s="2"/>
      <c r="AX735" s="2"/>
      <c r="AY735" s="2"/>
    </row>
    <row r="736" ht="15.75" customHeight="1">
      <c r="AH736" s="2"/>
      <c r="AW736" s="2"/>
      <c r="AX736" s="2"/>
      <c r="AY736" s="2"/>
    </row>
    <row r="737" ht="15.75" customHeight="1">
      <c r="AH737" s="2"/>
      <c r="AW737" s="2"/>
      <c r="AX737" s="2"/>
      <c r="AY737" s="2"/>
    </row>
    <row r="738" ht="15.75" customHeight="1">
      <c r="AH738" s="2"/>
      <c r="AW738" s="2"/>
      <c r="AX738" s="2"/>
      <c r="AY738" s="2"/>
    </row>
    <row r="739" ht="15.75" customHeight="1">
      <c r="AH739" s="2"/>
      <c r="AW739" s="2"/>
      <c r="AX739" s="2"/>
      <c r="AY739" s="2"/>
    </row>
    <row r="740" ht="15.75" customHeight="1">
      <c r="AH740" s="2"/>
      <c r="AW740" s="2"/>
      <c r="AX740" s="2"/>
      <c r="AY740" s="2"/>
    </row>
    <row r="741" ht="15.75" customHeight="1">
      <c r="AH741" s="2"/>
      <c r="AW741" s="2"/>
      <c r="AX741" s="2"/>
      <c r="AY741" s="2"/>
    </row>
    <row r="742" ht="15.75" customHeight="1">
      <c r="AH742" s="2"/>
      <c r="AW742" s="2"/>
      <c r="AX742" s="2"/>
      <c r="AY742" s="2"/>
    </row>
    <row r="743" ht="15.75" customHeight="1">
      <c r="AH743" s="2"/>
      <c r="AW743" s="2"/>
      <c r="AX743" s="2"/>
      <c r="AY743" s="2"/>
    </row>
    <row r="744" ht="15.75" customHeight="1">
      <c r="AH744" s="2"/>
      <c r="AW744" s="2"/>
      <c r="AX744" s="2"/>
      <c r="AY744" s="2"/>
    </row>
    <row r="745" ht="15.75" customHeight="1">
      <c r="AH745" s="2"/>
      <c r="AW745" s="2"/>
      <c r="AX745" s="2"/>
      <c r="AY745" s="2"/>
    </row>
    <row r="746" ht="15.75" customHeight="1">
      <c r="AH746" s="2"/>
      <c r="AW746" s="2"/>
      <c r="AX746" s="2"/>
      <c r="AY746" s="2"/>
    </row>
    <row r="747" ht="15.75" customHeight="1">
      <c r="AH747" s="2"/>
      <c r="AW747" s="2"/>
      <c r="AX747" s="2"/>
      <c r="AY747" s="2"/>
    </row>
    <row r="748" ht="15.75" customHeight="1">
      <c r="AH748" s="2"/>
      <c r="AW748" s="2"/>
      <c r="AX748" s="2"/>
      <c r="AY748" s="2"/>
    </row>
    <row r="749" ht="15.75" customHeight="1">
      <c r="AH749" s="2"/>
      <c r="AW749" s="2"/>
      <c r="AX749" s="2"/>
      <c r="AY749" s="2"/>
    </row>
    <row r="750" ht="15.75" customHeight="1">
      <c r="AH750" s="2"/>
      <c r="AW750" s="2"/>
      <c r="AX750" s="2"/>
      <c r="AY750" s="2"/>
    </row>
    <row r="751" ht="15.75" customHeight="1">
      <c r="AH751" s="2"/>
      <c r="AW751" s="2"/>
      <c r="AX751" s="2"/>
      <c r="AY751" s="2"/>
    </row>
    <row r="752" ht="15.75" customHeight="1">
      <c r="AH752" s="2"/>
      <c r="AW752" s="2"/>
      <c r="AX752" s="2"/>
      <c r="AY752" s="2"/>
    </row>
    <row r="753" ht="15.75" customHeight="1">
      <c r="AH753" s="2"/>
      <c r="AW753" s="2"/>
      <c r="AX753" s="2"/>
      <c r="AY753" s="2"/>
    </row>
    <row r="754" ht="15.75" customHeight="1">
      <c r="AH754" s="2"/>
      <c r="AW754" s="2"/>
      <c r="AX754" s="2"/>
      <c r="AY754" s="2"/>
    </row>
    <row r="755" ht="15.75" customHeight="1">
      <c r="AH755" s="2"/>
      <c r="AW755" s="2"/>
      <c r="AX755" s="2"/>
      <c r="AY755" s="2"/>
    </row>
    <row r="756" ht="15.75" customHeight="1">
      <c r="AH756" s="2"/>
      <c r="AW756" s="2"/>
      <c r="AX756" s="2"/>
      <c r="AY756" s="2"/>
    </row>
    <row r="757" ht="15.75" customHeight="1">
      <c r="AH757" s="2"/>
      <c r="AW757" s="2"/>
      <c r="AX757" s="2"/>
      <c r="AY757" s="2"/>
    </row>
    <row r="758" ht="15.75" customHeight="1">
      <c r="AH758" s="2"/>
      <c r="AW758" s="2"/>
      <c r="AX758" s="2"/>
      <c r="AY758" s="2"/>
    </row>
    <row r="759" ht="15.75" customHeight="1">
      <c r="AH759" s="2"/>
      <c r="AW759" s="2"/>
      <c r="AX759" s="2"/>
      <c r="AY759" s="2"/>
    </row>
    <row r="760" ht="15.75" customHeight="1">
      <c r="AH760" s="2"/>
      <c r="AW760" s="2"/>
      <c r="AX760" s="2"/>
      <c r="AY760" s="2"/>
    </row>
    <row r="761" ht="15.75" customHeight="1">
      <c r="AH761" s="2"/>
      <c r="AW761" s="2"/>
      <c r="AX761" s="2"/>
      <c r="AY761" s="2"/>
    </row>
    <row r="762" ht="15.75" customHeight="1">
      <c r="AH762" s="2"/>
      <c r="AW762" s="2"/>
      <c r="AX762" s="2"/>
      <c r="AY762" s="2"/>
    </row>
    <row r="763" ht="15.75" customHeight="1">
      <c r="AH763" s="2"/>
      <c r="AW763" s="2"/>
      <c r="AX763" s="2"/>
      <c r="AY763" s="2"/>
    </row>
    <row r="764" ht="15.75" customHeight="1">
      <c r="AH764" s="2"/>
      <c r="AW764" s="2"/>
      <c r="AX764" s="2"/>
      <c r="AY764" s="2"/>
    </row>
    <row r="765" ht="15.75" customHeight="1">
      <c r="AH765" s="2"/>
      <c r="AW765" s="2"/>
      <c r="AX765" s="2"/>
      <c r="AY765" s="2"/>
    </row>
    <row r="766" ht="15.75" customHeight="1">
      <c r="AH766" s="2"/>
      <c r="AW766" s="2"/>
      <c r="AX766" s="2"/>
      <c r="AY766" s="2"/>
    </row>
    <row r="767" ht="15.75" customHeight="1">
      <c r="AH767" s="2"/>
      <c r="AW767" s="2"/>
      <c r="AX767" s="2"/>
      <c r="AY767" s="2"/>
    </row>
    <row r="768" ht="15.75" customHeight="1">
      <c r="AH768" s="2"/>
      <c r="AW768" s="2"/>
      <c r="AX768" s="2"/>
      <c r="AY768" s="2"/>
    </row>
    <row r="769" ht="15.75" customHeight="1">
      <c r="AH769" s="2"/>
      <c r="AW769" s="2"/>
      <c r="AX769" s="2"/>
      <c r="AY769" s="2"/>
    </row>
    <row r="770" ht="15.75" customHeight="1">
      <c r="AH770" s="2"/>
      <c r="AW770" s="2"/>
      <c r="AX770" s="2"/>
      <c r="AY770" s="2"/>
    </row>
    <row r="771" ht="15.75" customHeight="1">
      <c r="AH771" s="2"/>
      <c r="AW771" s="2"/>
      <c r="AX771" s="2"/>
      <c r="AY771" s="2"/>
    </row>
    <row r="772" ht="15.75" customHeight="1">
      <c r="AH772" s="2"/>
      <c r="AW772" s="2"/>
      <c r="AX772" s="2"/>
      <c r="AY772" s="2"/>
    </row>
    <row r="773" ht="15.75" customHeight="1">
      <c r="AH773" s="2"/>
      <c r="AW773" s="2"/>
      <c r="AX773" s="2"/>
      <c r="AY773" s="2"/>
    </row>
    <row r="774" ht="15.75" customHeight="1">
      <c r="AH774" s="2"/>
      <c r="AW774" s="2"/>
      <c r="AX774" s="2"/>
      <c r="AY774" s="2"/>
    </row>
    <row r="775" ht="15.75" customHeight="1">
      <c r="AH775" s="2"/>
      <c r="AW775" s="2"/>
      <c r="AX775" s="2"/>
      <c r="AY775" s="2"/>
    </row>
    <row r="776" ht="15.75" customHeight="1">
      <c r="AH776" s="2"/>
      <c r="AW776" s="2"/>
      <c r="AX776" s="2"/>
      <c r="AY776" s="2"/>
    </row>
    <row r="777" ht="15.75" customHeight="1">
      <c r="AH777" s="2"/>
      <c r="AW777" s="2"/>
      <c r="AX777" s="2"/>
      <c r="AY777" s="2"/>
    </row>
    <row r="778" ht="15.75" customHeight="1">
      <c r="AH778" s="2"/>
      <c r="AW778" s="2"/>
      <c r="AX778" s="2"/>
      <c r="AY778" s="2"/>
    </row>
    <row r="779" ht="15.75" customHeight="1">
      <c r="AH779" s="2"/>
      <c r="AW779" s="2"/>
      <c r="AX779" s="2"/>
      <c r="AY779" s="2"/>
    </row>
    <row r="780" ht="15.75" customHeight="1">
      <c r="AH780" s="2"/>
      <c r="AW780" s="2"/>
      <c r="AX780" s="2"/>
      <c r="AY780" s="2"/>
    </row>
    <row r="781" ht="15.75" customHeight="1">
      <c r="AH781" s="2"/>
      <c r="AW781" s="2"/>
      <c r="AX781" s="2"/>
      <c r="AY781" s="2"/>
    </row>
    <row r="782" ht="15.75" customHeight="1">
      <c r="AH782" s="2"/>
      <c r="AW782" s="2"/>
      <c r="AX782" s="2"/>
      <c r="AY782" s="2"/>
    </row>
    <row r="783" ht="15.75" customHeight="1">
      <c r="AH783" s="2"/>
      <c r="AW783" s="2"/>
      <c r="AX783" s="2"/>
      <c r="AY783" s="2"/>
    </row>
    <row r="784" ht="15.75" customHeight="1">
      <c r="AH784" s="2"/>
      <c r="AW784" s="2"/>
      <c r="AX784" s="2"/>
      <c r="AY784" s="2"/>
    </row>
    <row r="785" ht="15.75" customHeight="1">
      <c r="AH785" s="2"/>
      <c r="AW785" s="2"/>
      <c r="AX785" s="2"/>
      <c r="AY785" s="2"/>
    </row>
    <row r="786" ht="15.75" customHeight="1">
      <c r="AH786" s="2"/>
      <c r="AW786" s="2"/>
      <c r="AX786" s="2"/>
      <c r="AY786" s="2"/>
    </row>
    <row r="787" ht="15.75" customHeight="1">
      <c r="AH787" s="2"/>
      <c r="AW787" s="2"/>
      <c r="AX787" s="2"/>
      <c r="AY787" s="2"/>
    </row>
    <row r="788" ht="15.75" customHeight="1">
      <c r="AH788" s="2"/>
      <c r="AW788" s="2"/>
      <c r="AX788" s="2"/>
      <c r="AY788" s="2"/>
    </row>
    <row r="789" ht="15.75" customHeight="1">
      <c r="AH789" s="2"/>
      <c r="AW789" s="2"/>
      <c r="AX789" s="2"/>
      <c r="AY789" s="2"/>
    </row>
    <row r="790" ht="15.75" customHeight="1">
      <c r="AH790" s="2"/>
      <c r="AW790" s="2"/>
      <c r="AX790" s="2"/>
      <c r="AY790" s="2"/>
    </row>
    <row r="791" ht="15.75" customHeight="1">
      <c r="AH791" s="2"/>
      <c r="AW791" s="2"/>
      <c r="AX791" s="2"/>
      <c r="AY791" s="2"/>
    </row>
    <row r="792" ht="15.75" customHeight="1">
      <c r="AH792" s="2"/>
      <c r="AW792" s="2"/>
      <c r="AX792" s="2"/>
      <c r="AY792" s="2"/>
    </row>
    <row r="793" ht="15.75" customHeight="1">
      <c r="AH793" s="2"/>
      <c r="AW793" s="2"/>
      <c r="AX793" s="2"/>
      <c r="AY793" s="2"/>
    </row>
    <row r="794" ht="15.75" customHeight="1">
      <c r="AH794" s="2"/>
      <c r="AW794" s="2"/>
      <c r="AX794" s="2"/>
      <c r="AY794" s="2"/>
    </row>
    <row r="795" ht="15.75" customHeight="1">
      <c r="AH795" s="2"/>
      <c r="AW795" s="2"/>
      <c r="AX795" s="2"/>
      <c r="AY795" s="2"/>
    </row>
    <row r="796" ht="15.75" customHeight="1">
      <c r="AH796" s="2"/>
      <c r="AW796" s="2"/>
      <c r="AX796" s="2"/>
      <c r="AY796" s="2"/>
    </row>
    <row r="797" ht="15.75" customHeight="1">
      <c r="AH797" s="2"/>
      <c r="AW797" s="2"/>
      <c r="AX797" s="2"/>
      <c r="AY797" s="2"/>
    </row>
    <row r="798" ht="15.75" customHeight="1">
      <c r="AH798" s="2"/>
      <c r="AW798" s="2"/>
      <c r="AX798" s="2"/>
      <c r="AY798" s="2"/>
    </row>
    <row r="799" ht="15.75" customHeight="1">
      <c r="AH799" s="2"/>
      <c r="AW799" s="2"/>
      <c r="AX799" s="2"/>
      <c r="AY799" s="2"/>
    </row>
    <row r="800" ht="15.75" customHeight="1">
      <c r="AH800" s="2"/>
      <c r="AW800" s="2"/>
      <c r="AX800" s="2"/>
      <c r="AY800" s="2"/>
    </row>
    <row r="801" ht="15.75" customHeight="1">
      <c r="AH801" s="2"/>
      <c r="AW801" s="2"/>
      <c r="AX801" s="2"/>
      <c r="AY801" s="2"/>
    </row>
    <row r="802" ht="15.75" customHeight="1">
      <c r="AH802" s="2"/>
      <c r="AW802" s="2"/>
      <c r="AX802" s="2"/>
      <c r="AY802" s="2"/>
    </row>
    <row r="803" ht="15.75" customHeight="1">
      <c r="AH803" s="2"/>
      <c r="AW803" s="2"/>
      <c r="AX803" s="2"/>
      <c r="AY803" s="2"/>
    </row>
    <row r="804" ht="15.75" customHeight="1">
      <c r="AH804" s="2"/>
      <c r="AW804" s="2"/>
      <c r="AX804" s="2"/>
      <c r="AY804" s="2"/>
    </row>
    <row r="805" ht="15.75" customHeight="1">
      <c r="AH805" s="2"/>
      <c r="AW805" s="2"/>
      <c r="AX805" s="2"/>
      <c r="AY805" s="2"/>
    </row>
    <row r="806" ht="15.75" customHeight="1">
      <c r="AH806" s="2"/>
      <c r="AW806" s="2"/>
      <c r="AX806" s="2"/>
      <c r="AY806" s="2"/>
    </row>
    <row r="807" ht="15.75" customHeight="1">
      <c r="AH807" s="2"/>
      <c r="AW807" s="2"/>
      <c r="AX807" s="2"/>
      <c r="AY807" s="2"/>
    </row>
    <row r="808" ht="15.75" customHeight="1">
      <c r="AH808" s="2"/>
      <c r="AW808" s="2"/>
      <c r="AX808" s="2"/>
      <c r="AY808" s="2"/>
    </row>
    <row r="809" ht="15.75" customHeight="1">
      <c r="AH809" s="2"/>
      <c r="AW809" s="2"/>
      <c r="AX809" s="2"/>
      <c r="AY809" s="2"/>
    </row>
    <row r="810" ht="15.75" customHeight="1">
      <c r="AH810" s="2"/>
      <c r="AW810" s="2"/>
      <c r="AX810" s="2"/>
      <c r="AY810" s="2"/>
    </row>
    <row r="811" ht="15.75" customHeight="1">
      <c r="AH811" s="2"/>
      <c r="AW811" s="2"/>
      <c r="AX811" s="2"/>
      <c r="AY811" s="2"/>
    </row>
    <row r="812" ht="15.75" customHeight="1">
      <c r="AH812" s="2"/>
      <c r="AW812" s="2"/>
      <c r="AX812" s="2"/>
      <c r="AY812" s="2"/>
    </row>
    <row r="813" ht="15.75" customHeight="1">
      <c r="AH813" s="2"/>
      <c r="AW813" s="2"/>
      <c r="AX813" s="2"/>
      <c r="AY813" s="2"/>
    </row>
    <row r="814" ht="15.75" customHeight="1">
      <c r="AH814" s="2"/>
      <c r="AW814" s="2"/>
      <c r="AX814" s="2"/>
      <c r="AY814" s="2"/>
    </row>
    <row r="815" ht="15.75" customHeight="1">
      <c r="AH815" s="2"/>
      <c r="AW815" s="2"/>
      <c r="AX815" s="2"/>
      <c r="AY815" s="2"/>
    </row>
    <row r="816" ht="15.75" customHeight="1">
      <c r="AH816" s="2"/>
      <c r="AW816" s="2"/>
      <c r="AX816" s="2"/>
      <c r="AY816" s="2"/>
    </row>
    <row r="817" ht="15.75" customHeight="1">
      <c r="AH817" s="2"/>
      <c r="AW817" s="2"/>
      <c r="AX817" s="2"/>
      <c r="AY817" s="2"/>
    </row>
    <row r="818" ht="15.75" customHeight="1">
      <c r="AH818" s="2"/>
      <c r="AW818" s="2"/>
      <c r="AX818" s="2"/>
      <c r="AY818" s="2"/>
    </row>
    <row r="819" ht="15.75" customHeight="1">
      <c r="AH819" s="2"/>
      <c r="AW819" s="2"/>
      <c r="AX819" s="2"/>
      <c r="AY819" s="2"/>
    </row>
    <row r="820" ht="15.75" customHeight="1">
      <c r="AH820" s="2"/>
      <c r="AW820" s="2"/>
      <c r="AX820" s="2"/>
      <c r="AY820" s="2"/>
    </row>
    <row r="821" ht="15.75" customHeight="1">
      <c r="AH821" s="2"/>
      <c r="AW821" s="2"/>
      <c r="AX821" s="2"/>
      <c r="AY821" s="2"/>
    </row>
    <row r="822" ht="15.75" customHeight="1">
      <c r="AH822" s="2"/>
      <c r="AW822" s="2"/>
      <c r="AX822" s="2"/>
      <c r="AY822" s="2"/>
    </row>
    <row r="823" ht="15.75" customHeight="1">
      <c r="AH823" s="2"/>
      <c r="AW823" s="2"/>
      <c r="AX823" s="2"/>
      <c r="AY823" s="2"/>
    </row>
    <row r="824" ht="15.75" customHeight="1">
      <c r="AH824" s="2"/>
      <c r="AW824" s="2"/>
      <c r="AX824" s="2"/>
      <c r="AY824" s="2"/>
    </row>
    <row r="825" ht="15.75" customHeight="1">
      <c r="AH825" s="2"/>
      <c r="AW825" s="2"/>
      <c r="AX825" s="2"/>
      <c r="AY825" s="2"/>
    </row>
    <row r="826" ht="15.75" customHeight="1">
      <c r="AH826" s="2"/>
      <c r="AW826" s="2"/>
      <c r="AX826" s="2"/>
      <c r="AY826" s="2"/>
    </row>
    <row r="827" ht="15.75" customHeight="1">
      <c r="AH827" s="2"/>
      <c r="AW827" s="2"/>
      <c r="AX827" s="2"/>
      <c r="AY827" s="2"/>
    </row>
    <row r="828" ht="15.75" customHeight="1">
      <c r="AH828" s="2"/>
      <c r="AW828" s="2"/>
      <c r="AX828" s="2"/>
      <c r="AY828" s="2"/>
    </row>
    <row r="829" ht="15.75" customHeight="1">
      <c r="AH829" s="2"/>
      <c r="AW829" s="2"/>
      <c r="AX829" s="2"/>
      <c r="AY829" s="2"/>
    </row>
    <row r="830" ht="15.75" customHeight="1">
      <c r="AH830" s="2"/>
      <c r="AW830" s="2"/>
      <c r="AX830" s="2"/>
      <c r="AY830" s="2"/>
    </row>
    <row r="831" ht="15.75" customHeight="1">
      <c r="AH831" s="2"/>
      <c r="AW831" s="2"/>
      <c r="AX831" s="2"/>
      <c r="AY831" s="2"/>
    </row>
    <row r="832" ht="15.75" customHeight="1">
      <c r="AH832" s="2"/>
      <c r="AW832" s="2"/>
      <c r="AX832" s="2"/>
      <c r="AY832" s="2"/>
    </row>
    <row r="833" ht="15.75" customHeight="1">
      <c r="AH833" s="2"/>
      <c r="AW833" s="2"/>
      <c r="AX833" s="2"/>
      <c r="AY833" s="2"/>
    </row>
    <row r="834" ht="15.75" customHeight="1">
      <c r="AH834" s="2"/>
      <c r="AW834" s="2"/>
      <c r="AX834" s="2"/>
      <c r="AY834" s="2"/>
    </row>
    <row r="835" ht="15.75" customHeight="1">
      <c r="AH835" s="2"/>
      <c r="AW835" s="2"/>
      <c r="AX835" s="2"/>
      <c r="AY835" s="2"/>
    </row>
    <row r="836" ht="15.75" customHeight="1">
      <c r="AH836" s="2"/>
      <c r="AW836" s="2"/>
      <c r="AX836" s="2"/>
      <c r="AY836" s="2"/>
    </row>
    <row r="837" ht="15.75" customHeight="1">
      <c r="AH837" s="2"/>
      <c r="AW837" s="2"/>
      <c r="AX837" s="2"/>
      <c r="AY837" s="2"/>
    </row>
    <row r="838" ht="15.75" customHeight="1">
      <c r="AH838" s="2"/>
      <c r="AW838" s="2"/>
      <c r="AX838" s="2"/>
      <c r="AY838" s="2"/>
    </row>
    <row r="839" ht="15.75" customHeight="1">
      <c r="AH839" s="2"/>
      <c r="AW839" s="2"/>
      <c r="AX839" s="2"/>
      <c r="AY839" s="2"/>
    </row>
    <row r="840" ht="15.75" customHeight="1">
      <c r="AH840" s="2"/>
      <c r="AW840" s="2"/>
      <c r="AX840" s="2"/>
      <c r="AY840" s="2"/>
    </row>
    <row r="841" ht="15.75" customHeight="1">
      <c r="AH841" s="2"/>
      <c r="AW841" s="2"/>
      <c r="AX841" s="2"/>
      <c r="AY841" s="2"/>
    </row>
    <row r="842" ht="15.75" customHeight="1">
      <c r="AH842" s="2"/>
      <c r="AW842" s="2"/>
      <c r="AX842" s="2"/>
      <c r="AY842" s="2"/>
    </row>
    <row r="843" ht="15.75" customHeight="1">
      <c r="AH843" s="2"/>
      <c r="AW843" s="2"/>
      <c r="AX843" s="2"/>
      <c r="AY843" s="2"/>
    </row>
    <row r="844" ht="15.75" customHeight="1">
      <c r="AH844" s="2"/>
      <c r="AW844" s="2"/>
      <c r="AX844" s="2"/>
      <c r="AY844" s="2"/>
    </row>
    <row r="845" ht="15.75" customHeight="1">
      <c r="AH845" s="2"/>
      <c r="AW845" s="2"/>
      <c r="AX845" s="2"/>
      <c r="AY845" s="2"/>
    </row>
    <row r="846" ht="15.75" customHeight="1">
      <c r="AH846" s="2"/>
      <c r="AW846" s="2"/>
      <c r="AX846" s="2"/>
      <c r="AY846" s="2"/>
    </row>
    <row r="847" ht="15.75" customHeight="1">
      <c r="AH847" s="2"/>
      <c r="AW847" s="2"/>
      <c r="AX847" s="2"/>
      <c r="AY847" s="2"/>
    </row>
    <row r="848" ht="15.75" customHeight="1">
      <c r="AH848" s="2"/>
      <c r="AW848" s="2"/>
      <c r="AX848" s="2"/>
      <c r="AY848" s="2"/>
    </row>
    <row r="849" ht="15.75" customHeight="1">
      <c r="AH849" s="2"/>
      <c r="AW849" s="2"/>
      <c r="AX849" s="2"/>
      <c r="AY849" s="2"/>
    </row>
    <row r="850" ht="15.75" customHeight="1">
      <c r="AH850" s="2"/>
      <c r="AW850" s="2"/>
      <c r="AX850" s="2"/>
      <c r="AY850" s="2"/>
    </row>
    <row r="851" ht="15.75" customHeight="1">
      <c r="AH851" s="2"/>
      <c r="AW851" s="2"/>
      <c r="AX851" s="2"/>
      <c r="AY851" s="2"/>
    </row>
    <row r="852" ht="15.75" customHeight="1">
      <c r="AH852" s="2"/>
      <c r="AW852" s="2"/>
      <c r="AX852" s="2"/>
      <c r="AY852" s="2"/>
    </row>
    <row r="853" ht="15.75" customHeight="1">
      <c r="AH853" s="2"/>
      <c r="AW853" s="2"/>
      <c r="AX853" s="2"/>
      <c r="AY853" s="2"/>
    </row>
    <row r="854" ht="15.75" customHeight="1">
      <c r="AH854" s="2"/>
      <c r="AW854" s="2"/>
      <c r="AX854" s="2"/>
      <c r="AY854" s="2"/>
    </row>
    <row r="855" ht="15.75" customHeight="1">
      <c r="AH855" s="2"/>
      <c r="AW855" s="2"/>
      <c r="AX855" s="2"/>
      <c r="AY855" s="2"/>
    </row>
    <row r="856" ht="15.75" customHeight="1">
      <c r="AH856" s="2"/>
      <c r="AW856" s="2"/>
      <c r="AX856" s="2"/>
      <c r="AY856" s="2"/>
    </row>
    <row r="857" ht="15.75" customHeight="1">
      <c r="AH857" s="2"/>
      <c r="AW857" s="2"/>
      <c r="AX857" s="2"/>
      <c r="AY857" s="2"/>
    </row>
    <row r="858" ht="15.75" customHeight="1">
      <c r="AH858" s="2"/>
      <c r="AW858" s="2"/>
      <c r="AX858" s="2"/>
      <c r="AY858" s="2"/>
    </row>
    <row r="859" ht="15.75" customHeight="1">
      <c r="AH859" s="2"/>
      <c r="AW859" s="2"/>
      <c r="AX859" s="2"/>
      <c r="AY859" s="2"/>
    </row>
    <row r="860" ht="15.75" customHeight="1">
      <c r="AH860" s="2"/>
      <c r="AW860" s="2"/>
      <c r="AX860" s="2"/>
      <c r="AY860" s="2"/>
    </row>
    <row r="861" ht="15.75" customHeight="1">
      <c r="AH861" s="2"/>
      <c r="AW861" s="2"/>
      <c r="AX861" s="2"/>
      <c r="AY861" s="2"/>
    </row>
    <row r="862" ht="15.75" customHeight="1">
      <c r="AH862" s="2"/>
      <c r="AW862" s="2"/>
      <c r="AX862" s="2"/>
      <c r="AY862" s="2"/>
    </row>
    <row r="863" ht="15.75" customHeight="1">
      <c r="AH863" s="2"/>
      <c r="AW863" s="2"/>
      <c r="AX863" s="2"/>
      <c r="AY863" s="2"/>
    </row>
    <row r="864" ht="15.75" customHeight="1">
      <c r="AH864" s="2"/>
      <c r="AW864" s="2"/>
      <c r="AX864" s="2"/>
      <c r="AY864" s="2"/>
    </row>
    <row r="865" ht="15.75" customHeight="1">
      <c r="AH865" s="2"/>
      <c r="AW865" s="2"/>
      <c r="AX865" s="2"/>
      <c r="AY865" s="2"/>
    </row>
    <row r="866" ht="15.75" customHeight="1">
      <c r="AH866" s="2"/>
      <c r="AW866" s="2"/>
      <c r="AX866" s="2"/>
      <c r="AY866" s="2"/>
    </row>
    <row r="867" ht="15.75" customHeight="1">
      <c r="AH867" s="2"/>
      <c r="AW867" s="2"/>
      <c r="AX867" s="2"/>
      <c r="AY867" s="2"/>
    </row>
    <row r="868" ht="15.75" customHeight="1">
      <c r="AH868" s="2"/>
      <c r="AW868" s="2"/>
      <c r="AX868" s="2"/>
      <c r="AY868" s="2"/>
    </row>
    <row r="869" ht="15.75" customHeight="1">
      <c r="AH869" s="2"/>
      <c r="AW869" s="2"/>
      <c r="AX869" s="2"/>
      <c r="AY869" s="2"/>
    </row>
    <row r="870" ht="15.75" customHeight="1">
      <c r="AH870" s="2"/>
      <c r="AW870" s="2"/>
      <c r="AX870" s="2"/>
      <c r="AY870" s="2"/>
    </row>
    <row r="871" ht="15.75" customHeight="1">
      <c r="AH871" s="2"/>
      <c r="AW871" s="2"/>
      <c r="AX871" s="2"/>
      <c r="AY871" s="2"/>
    </row>
    <row r="872" ht="15.75" customHeight="1">
      <c r="AH872" s="2"/>
      <c r="AW872" s="2"/>
      <c r="AX872" s="2"/>
      <c r="AY872" s="2"/>
    </row>
    <row r="873" ht="15.75" customHeight="1">
      <c r="AH873" s="2"/>
      <c r="AW873" s="2"/>
      <c r="AX873" s="2"/>
      <c r="AY873" s="2"/>
    </row>
    <row r="874" ht="15.75" customHeight="1">
      <c r="AH874" s="2"/>
      <c r="AW874" s="2"/>
      <c r="AX874" s="2"/>
      <c r="AY874" s="2"/>
    </row>
    <row r="875" ht="15.75" customHeight="1">
      <c r="AH875" s="2"/>
      <c r="AW875" s="2"/>
      <c r="AX875" s="2"/>
      <c r="AY875" s="2"/>
    </row>
    <row r="876" ht="15.75" customHeight="1">
      <c r="AH876" s="2"/>
      <c r="AW876" s="2"/>
      <c r="AX876" s="2"/>
      <c r="AY876" s="2"/>
    </row>
    <row r="877" ht="15.75" customHeight="1">
      <c r="AH877" s="2"/>
      <c r="AW877" s="2"/>
      <c r="AX877" s="2"/>
      <c r="AY877" s="2"/>
    </row>
    <row r="878" ht="15.75" customHeight="1">
      <c r="AH878" s="2"/>
      <c r="AW878" s="2"/>
      <c r="AX878" s="2"/>
      <c r="AY878" s="2"/>
    </row>
    <row r="879" ht="15.75" customHeight="1">
      <c r="AH879" s="2"/>
      <c r="AW879" s="2"/>
      <c r="AX879" s="2"/>
      <c r="AY879" s="2"/>
    </row>
    <row r="880" ht="15.75" customHeight="1">
      <c r="AH880" s="2"/>
      <c r="AW880" s="2"/>
      <c r="AX880" s="2"/>
      <c r="AY880" s="2"/>
    </row>
    <row r="881" ht="15.75" customHeight="1">
      <c r="AH881" s="2"/>
      <c r="AW881" s="2"/>
      <c r="AX881" s="2"/>
      <c r="AY881" s="2"/>
    </row>
    <row r="882" ht="15.75" customHeight="1">
      <c r="AH882" s="2"/>
      <c r="AW882" s="2"/>
      <c r="AX882" s="2"/>
      <c r="AY882" s="2"/>
    </row>
    <row r="883" ht="15.75" customHeight="1">
      <c r="AH883" s="2"/>
      <c r="AW883" s="2"/>
      <c r="AX883" s="2"/>
      <c r="AY883" s="2"/>
    </row>
    <row r="884" ht="15.75" customHeight="1">
      <c r="AH884" s="2"/>
      <c r="AW884" s="2"/>
      <c r="AX884" s="2"/>
      <c r="AY884" s="2"/>
    </row>
    <row r="885" ht="15.75" customHeight="1">
      <c r="AH885" s="2"/>
      <c r="AW885" s="2"/>
      <c r="AX885" s="2"/>
      <c r="AY885" s="2"/>
    </row>
    <row r="886" ht="15.75" customHeight="1">
      <c r="AH886" s="2"/>
      <c r="AW886" s="2"/>
      <c r="AX886" s="2"/>
      <c r="AY886" s="2"/>
    </row>
    <row r="887" ht="15.75" customHeight="1">
      <c r="AH887" s="2"/>
      <c r="AW887" s="2"/>
      <c r="AX887" s="2"/>
      <c r="AY887" s="2"/>
    </row>
    <row r="888" ht="15.75" customHeight="1">
      <c r="AH888" s="2"/>
      <c r="AW888" s="2"/>
      <c r="AX888" s="2"/>
      <c r="AY888" s="2"/>
    </row>
    <row r="889" ht="15.75" customHeight="1">
      <c r="AH889" s="2"/>
      <c r="AW889" s="2"/>
      <c r="AX889" s="2"/>
      <c r="AY889" s="2"/>
    </row>
    <row r="890" ht="15.75" customHeight="1">
      <c r="AH890" s="2"/>
      <c r="AW890" s="2"/>
      <c r="AX890" s="2"/>
      <c r="AY890" s="2"/>
    </row>
    <row r="891" ht="15.75" customHeight="1">
      <c r="AH891" s="2"/>
      <c r="AW891" s="2"/>
      <c r="AX891" s="2"/>
      <c r="AY891" s="2"/>
    </row>
    <row r="892" ht="15.75" customHeight="1">
      <c r="AH892" s="2"/>
      <c r="AW892" s="2"/>
      <c r="AX892" s="2"/>
      <c r="AY892" s="2"/>
    </row>
    <row r="893" ht="15.75" customHeight="1">
      <c r="AH893" s="2"/>
      <c r="AW893" s="2"/>
      <c r="AX893" s="2"/>
      <c r="AY893" s="2"/>
    </row>
    <row r="894" ht="15.75" customHeight="1">
      <c r="AH894" s="2"/>
      <c r="AW894" s="2"/>
      <c r="AX894" s="2"/>
      <c r="AY894" s="2"/>
    </row>
    <row r="895" ht="15.75" customHeight="1">
      <c r="AH895" s="2"/>
      <c r="AW895" s="2"/>
      <c r="AX895" s="2"/>
      <c r="AY895" s="2"/>
    </row>
    <row r="896" ht="15.75" customHeight="1">
      <c r="AH896" s="2"/>
      <c r="AW896" s="2"/>
      <c r="AX896" s="2"/>
      <c r="AY896" s="2"/>
    </row>
    <row r="897" ht="15.75" customHeight="1">
      <c r="AH897" s="2"/>
      <c r="AW897" s="2"/>
      <c r="AX897" s="2"/>
      <c r="AY897" s="2"/>
    </row>
    <row r="898" ht="15.75" customHeight="1">
      <c r="AH898" s="2"/>
      <c r="AW898" s="2"/>
      <c r="AX898" s="2"/>
      <c r="AY898" s="2"/>
    </row>
    <row r="899" ht="15.75" customHeight="1">
      <c r="AH899" s="2"/>
      <c r="AW899" s="2"/>
      <c r="AX899" s="2"/>
      <c r="AY899" s="2"/>
    </row>
    <row r="900" ht="15.75" customHeight="1">
      <c r="AH900" s="2"/>
      <c r="AW900" s="2"/>
      <c r="AX900" s="2"/>
      <c r="AY900" s="2"/>
    </row>
    <row r="901" ht="15.75" customHeight="1">
      <c r="AH901" s="2"/>
      <c r="AW901" s="2"/>
      <c r="AX901" s="2"/>
      <c r="AY901" s="2"/>
    </row>
    <row r="902" ht="15.75" customHeight="1">
      <c r="AH902" s="2"/>
      <c r="AW902" s="2"/>
      <c r="AX902" s="2"/>
      <c r="AY902" s="2"/>
    </row>
    <row r="903" ht="15.75" customHeight="1">
      <c r="AH903" s="2"/>
      <c r="AW903" s="2"/>
      <c r="AX903" s="2"/>
      <c r="AY903" s="2"/>
    </row>
    <row r="904" ht="15.75" customHeight="1">
      <c r="AH904" s="2"/>
      <c r="AW904" s="2"/>
      <c r="AX904" s="2"/>
      <c r="AY904" s="2"/>
    </row>
    <row r="905" ht="15.75" customHeight="1">
      <c r="AH905" s="2"/>
      <c r="AW905" s="2"/>
      <c r="AX905" s="2"/>
      <c r="AY905" s="2"/>
    </row>
    <row r="906" ht="15.75" customHeight="1">
      <c r="AH906" s="2"/>
      <c r="AW906" s="2"/>
      <c r="AX906" s="2"/>
      <c r="AY906" s="2"/>
    </row>
    <row r="907" ht="15.75" customHeight="1">
      <c r="AH907" s="2"/>
      <c r="AW907" s="2"/>
      <c r="AX907" s="2"/>
      <c r="AY907" s="2"/>
    </row>
    <row r="908" ht="15.75" customHeight="1">
      <c r="AH908" s="2"/>
      <c r="AW908" s="2"/>
      <c r="AX908" s="2"/>
      <c r="AY908" s="2"/>
    </row>
    <row r="909" ht="15.75" customHeight="1">
      <c r="AH909" s="2"/>
      <c r="AW909" s="2"/>
      <c r="AX909" s="2"/>
      <c r="AY909" s="2"/>
    </row>
    <row r="910" ht="15.75" customHeight="1">
      <c r="AH910" s="2"/>
      <c r="AW910" s="2"/>
      <c r="AX910" s="2"/>
      <c r="AY910" s="2"/>
    </row>
    <row r="911" ht="15.75" customHeight="1">
      <c r="AH911" s="2"/>
      <c r="AW911" s="2"/>
      <c r="AX911" s="2"/>
      <c r="AY911" s="2"/>
    </row>
    <row r="912" ht="15.75" customHeight="1">
      <c r="AH912" s="2"/>
      <c r="AW912" s="2"/>
      <c r="AX912" s="2"/>
      <c r="AY912" s="2"/>
    </row>
    <row r="913" ht="15.75" customHeight="1">
      <c r="AH913" s="2"/>
      <c r="AW913" s="2"/>
      <c r="AX913" s="2"/>
      <c r="AY913" s="2"/>
    </row>
    <row r="914" ht="15.75" customHeight="1">
      <c r="AH914" s="2"/>
      <c r="AW914" s="2"/>
      <c r="AX914" s="2"/>
      <c r="AY914" s="2"/>
    </row>
    <row r="915" ht="15.75" customHeight="1">
      <c r="AH915" s="2"/>
      <c r="AW915" s="2"/>
      <c r="AX915" s="2"/>
      <c r="AY915" s="2"/>
    </row>
    <row r="916" ht="15.75" customHeight="1">
      <c r="AH916" s="2"/>
      <c r="AW916" s="2"/>
      <c r="AX916" s="2"/>
      <c r="AY916" s="2"/>
    </row>
    <row r="917" ht="15.75" customHeight="1">
      <c r="AH917" s="2"/>
      <c r="AW917" s="2"/>
      <c r="AX917" s="2"/>
      <c r="AY917" s="2"/>
    </row>
    <row r="918" ht="15.75" customHeight="1">
      <c r="AH918" s="2"/>
      <c r="AW918" s="2"/>
      <c r="AX918" s="2"/>
      <c r="AY918" s="2"/>
    </row>
    <row r="919" ht="15.75" customHeight="1">
      <c r="AH919" s="2"/>
      <c r="AW919" s="2"/>
      <c r="AX919" s="2"/>
      <c r="AY919" s="2"/>
    </row>
    <row r="920" ht="15.75" customHeight="1">
      <c r="AH920" s="2"/>
      <c r="AW920" s="2"/>
      <c r="AX920" s="2"/>
      <c r="AY920" s="2"/>
    </row>
    <row r="921" ht="15.75" customHeight="1">
      <c r="AH921" s="2"/>
      <c r="AW921" s="2"/>
      <c r="AX921" s="2"/>
      <c r="AY921" s="2"/>
    </row>
    <row r="922" ht="15.75" customHeight="1">
      <c r="AH922" s="2"/>
      <c r="AW922" s="2"/>
      <c r="AX922" s="2"/>
      <c r="AY922" s="2"/>
    </row>
    <row r="923" ht="15.75" customHeight="1">
      <c r="AH923" s="2"/>
      <c r="AW923" s="2"/>
      <c r="AX923" s="2"/>
      <c r="AY923" s="2"/>
    </row>
    <row r="924" ht="15.75" customHeight="1">
      <c r="AH924" s="2"/>
      <c r="AW924" s="2"/>
      <c r="AX924" s="2"/>
      <c r="AY924" s="2"/>
    </row>
    <row r="925" ht="15.75" customHeight="1">
      <c r="AH925" s="2"/>
      <c r="AW925" s="2"/>
      <c r="AX925" s="2"/>
      <c r="AY925" s="2"/>
    </row>
    <row r="926" ht="15.75" customHeight="1">
      <c r="AH926" s="2"/>
      <c r="AW926" s="2"/>
      <c r="AX926" s="2"/>
      <c r="AY926" s="2"/>
    </row>
    <row r="927" ht="15.75" customHeight="1">
      <c r="AH927" s="2"/>
      <c r="AW927" s="2"/>
      <c r="AX927" s="2"/>
      <c r="AY927" s="2"/>
    </row>
    <row r="928" ht="15.75" customHeight="1">
      <c r="AH928" s="2"/>
      <c r="AW928" s="2"/>
      <c r="AX928" s="2"/>
      <c r="AY928" s="2"/>
    </row>
    <row r="929" ht="15.75" customHeight="1">
      <c r="AH929" s="2"/>
      <c r="AW929" s="2"/>
      <c r="AX929" s="2"/>
      <c r="AY929" s="2"/>
    </row>
    <row r="930" ht="15.75" customHeight="1">
      <c r="AH930" s="2"/>
      <c r="AW930" s="2"/>
      <c r="AX930" s="2"/>
      <c r="AY930" s="2"/>
    </row>
    <row r="931" ht="15.75" customHeight="1">
      <c r="AH931" s="2"/>
      <c r="AW931" s="2"/>
      <c r="AX931" s="2"/>
      <c r="AY931" s="2"/>
    </row>
    <row r="932" ht="15.75" customHeight="1">
      <c r="AH932" s="2"/>
      <c r="AW932" s="2"/>
      <c r="AX932" s="2"/>
      <c r="AY932" s="2"/>
    </row>
    <row r="933" ht="15.75" customHeight="1">
      <c r="AH933" s="2"/>
      <c r="AW933" s="2"/>
      <c r="AX933" s="2"/>
      <c r="AY933" s="2"/>
    </row>
    <row r="934" ht="15.75" customHeight="1">
      <c r="AH934" s="2"/>
      <c r="AW934" s="2"/>
      <c r="AX934" s="2"/>
      <c r="AY934" s="2"/>
    </row>
    <row r="935" ht="15.75" customHeight="1">
      <c r="AH935" s="2"/>
      <c r="AW935" s="2"/>
      <c r="AX935" s="2"/>
      <c r="AY935" s="2"/>
    </row>
    <row r="936" ht="15.75" customHeight="1">
      <c r="AH936" s="2"/>
      <c r="AW936" s="2"/>
      <c r="AX936" s="2"/>
      <c r="AY936" s="2"/>
    </row>
    <row r="937" ht="15.75" customHeight="1">
      <c r="AH937" s="2"/>
      <c r="AW937" s="2"/>
      <c r="AX937" s="2"/>
      <c r="AY937" s="2"/>
    </row>
    <row r="938" ht="15.75" customHeight="1">
      <c r="AH938" s="2"/>
      <c r="AW938" s="2"/>
      <c r="AX938" s="2"/>
      <c r="AY938" s="2"/>
    </row>
    <row r="939" ht="15.75" customHeight="1">
      <c r="AH939" s="2"/>
      <c r="AW939" s="2"/>
      <c r="AX939" s="2"/>
      <c r="AY939" s="2"/>
    </row>
    <row r="940" ht="15.75" customHeight="1">
      <c r="AH940" s="2"/>
      <c r="AW940" s="2"/>
      <c r="AX940" s="2"/>
      <c r="AY940" s="2"/>
    </row>
    <row r="941" ht="15.75" customHeight="1">
      <c r="AH941" s="2"/>
      <c r="AW941" s="2"/>
      <c r="AX941" s="2"/>
      <c r="AY941" s="2"/>
    </row>
    <row r="942" ht="15.75" customHeight="1">
      <c r="AH942" s="2"/>
      <c r="AW942" s="2"/>
      <c r="AX942" s="2"/>
      <c r="AY942" s="2"/>
    </row>
    <row r="943" ht="15.75" customHeight="1">
      <c r="AH943" s="2"/>
      <c r="AW943" s="2"/>
      <c r="AX943" s="2"/>
      <c r="AY943" s="2"/>
    </row>
    <row r="944" ht="15.75" customHeight="1">
      <c r="AH944" s="2"/>
      <c r="AW944" s="2"/>
      <c r="AX944" s="2"/>
      <c r="AY944" s="2"/>
    </row>
    <row r="945" ht="15.75" customHeight="1">
      <c r="AH945" s="2"/>
      <c r="AW945" s="2"/>
      <c r="AX945" s="2"/>
      <c r="AY945" s="2"/>
    </row>
    <row r="946" ht="15.75" customHeight="1">
      <c r="AH946" s="2"/>
      <c r="AW946" s="2"/>
      <c r="AX946" s="2"/>
      <c r="AY946" s="2"/>
    </row>
    <row r="947" ht="15.75" customHeight="1">
      <c r="AH947" s="2"/>
      <c r="AW947" s="2"/>
      <c r="AX947" s="2"/>
      <c r="AY947" s="2"/>
    </row>
    <row r="948" ht="15.75" customHeight="1">
      <c r="AH948" s="2"/>
      <c r="AW948" s="2"/>
      <c r="AX948" s="2"/>
      <c r="AY948" s="2"/>
    </row>
    <row r="949" ht="15.75" customHeight="1">
      <c r="AH949" s="2"/>
      <c r="AW949" s="2"/>
      <c r="AX949" s="2"/>
      <c r="AY949" s="2"/>
    </row>
    <row r="950" ht="15.75" customHeight="1">
      <c r="AH950" s="2"/>
      <c r="AW950" s="2"/>
      <c r="AX950" s="2"/>
      <c r="AY950" s="2"/>
    </row>
    <row r="951" ht="15.75" customHeight="1">
      <c r="AH951" s="2"/>
      <c r="AW951" s="2"/>
      <c r="AX951" s="2"/>
      <c r="AY951" s="2"/>
    </row>
    <row r="952" ht="15.75" customHeight="1">
      <c r="AH952" s="2"/>
      <c r="AW952" s="2"/>
      <c r="AX952" s="2"/>
      <c r="AY952" s="2"/>
    </row>
    <row r="953" ht="15.75" customHeight="1">
      <c r="AH953" s="2"/>
      <c r="AW953" s="2"/>
      <c r="AX953" s="2"/>
      <c r="AY953" s="2"/>
    </row>
    <row r="954" ht="15.75" customHeight="1">
      <c r="AH954" s="2"/>
      <c r="AW954" s="2"/>
      <c r="AX954" s="2"/>
      <c r="AY954" s="2"/>
    </row>
    <row r="955" ht="15.75" customHeight="1">
      <c r="AH955" s="2"/>
      <c r="AW955" s="2"/>
      <c r="AX955" s="2"/>
      <c r="AY955" s="2"/>
    </row>
    <row r="956" ht="15.75" customHeight="1">
      <c r="AH956" s="2"/>
      <c r="AW956" s="2"/>
      <c r="AX956" s="2"/>
      <c r="AY956" s="2"/>
    </row>
    <row r="957" ht="15.75" customHeight="1">
      <c r="AH957" s="2"/>
      <c r="AW957" s="2"/>
      <c r="AX957" s="2"/>
      <c r="AY957" s="2"/>
    </row>
    <row r="958" ht="15.75" customHeight="1">
      <c r="AH958" s="2"/>
      <c r="AW958" s="2"/>
      <c r="AX958" s="2"/>
      <c r="AY958" s="2"/>
    </row>
    <row r="959" ht="15.75" customHeight="1">
      <c r="AH959" s="2"/>
      <c r="AW959" s="2"/>
      <c r="AX959" s="2"/>
      <c r="AY959" s="2"/>
    </row>
    <row r="960" ht="15.75" customHeight="1">
      <c r="AH960" s="2"/>
      <c r="AW960" s="2"/>
      <c r="AX960" s="2"/>
      <c r="AY960" s="2"/>
    </row>
    <row r="961" ht="15.75" customHeight="1">
      <c r="AH961" s="2"/>
      <c r="AW961" s="2"/>
      <c r="AX961" s="2"/>
      <c r="AY961" s="2"/>
    </row>
    <row r="962" ht="15.75" customHeight="1">
      <c r="AH962" s="2"/>
      <c r="AW962" s="2"/>
      <c r="AX962" s="2"/>
      <c r="AY962" s="2"/>
    </row>
    <row r="963" ht="15.75" customHeight="1">
      <c r="AH963" s="2"/>
      <c r="AW963" s="2"/>
      <c r="AX963" s="2"/>
      <c r="AY963" s="2"/>
    </row>
    <row r="964" ht="15.75" customHeight="1">
      <c r="AH964" s="2"/>
      <c r="AW964" s="2"/>
      <c r="AX964" s="2"/>
      <c r="AY964" s="2"/>
    </row>
    <row r="965" ht="15.75" customHeight="1">
      <c r="AH965" s="2"/>
      <c r="AW965" s="2"/>
      <c r="AX965" s="2"/>
      <c r="AY965" s="2"/>
    </row>
    <row r="966" ht="15.75" customHeight="1">
      <c r="AH966" s="2"/>
      <c r="AW966" s="2"/>
      <c r="AX966" s="2"/>
      <c r="AY966" s="2"/>
    </row>
    <row r="967" ht="15.75" customHeight="1">
      <c r="AH967" s="2"/>
      <c r="AW967" s="2"/>
      <c r="AX967" s="2"/>
      <c r="AY967" s="2"/>
    </row>
    <row r="968" ht="15.75" customHeight="1">
      <c r="AH968" s="2"/>
      <c r="AW968" s="2"/>
      <c r="AX968" s="2"/>
      <c r="AY968" s="2"/>
    </row>
    <row r="969" ht="15.75" customHeight="1">
      <c r="AH969" s="2"/>
      <c r="AW969" s="2"/>
      <c r="AX969" s="2"/>
      <c r="AY969" s="2"/>
    </row>
    <row r="970" ht="15.75" customHeight="1">
      <c r="AH970" s="2"/>
      <c r="AW970" s="2"/>
      <c r="AX970" s="2"/>
      <c r="AY970" s="2"/>
    </row>
    <row r="971" ht="15.75" customHeight="1">
      <c r="AH971" s="2"/>
      <c r="AW971" s="2"/>
      <c r="AX971" s="2"/>
      <c r="AY971" s="2"/>
    </row>
    <row r="972" ht="15.75" customHeight="1">
      <c r="AH972" s="2"/>
      <c r="AW972" s="2"/>
      <c r="AX972" s="2"/>
      <c r="AY972" s="2"/>
    </row>
    <row r="973" ht="15.75" customHeight="1">
      <c r="AH973" s="2"/>
      <c r="AW973" s="2"/>
      <c r="AX973" s="2"/>
      <c r="AY973" s="2"/>
    </row>
    <row r="974" ht="15.75" customHeight="1">
      <c r="AH974" s="2"/>
      <c r="AW974" s="2"/>
      <c r="AX974" s="2"/>
      <c r="AY974" s="2"/>
    </row>
    <row r="975" ht="15.75" customHeight="1">
      <c r="AH975" s="2"/>
      <c r="AW975" s="2"/>
      <c r="AX975" s="2"/>
      <c r="AY975" s="2"/>
    </row>
    <row r="976" ht="15.75" customHeight="1">
      <c r="AH976" s="2"/>
      <c r="AW976" s="2"/>
      <c r="AX976" s="2"/>
      <c r="AY976" s="2"/>
    </row>
    <row r="977" ht="15.75" customHeight="1">
      <c r="AH977" s="2"/>
      <c r="AW977" s="2"/>
      <c r="AX977" s="2"/>
      <c r="AY977" s="2"/>
    </row>
    <row r="978" ht="15.75" customHeight="1">
      <c r="AH978" s="2"/>
      <c r="AW978" s="2"/>
      <c r="AX978" s="2"/>
      <c r="AY978" s="2"/>
    </row>
    <row r="979" ht="15.75" customHeight="1">
      <c r="AH979" s="2"/>
      <c r="AW979" s="2"/>
      <c r="AX979" s="2"/>
      <c r="AY979" s="2"/>
    </row>
    <row r="980" ht="15.75" customHeight="1">
      <c r="AH980" s="2"/>
      <c r="AW980" s="2"/>
      <c r="AX980" s="2"/>
      <c r="AY980" s="2"/>
    </row>
    <row r="981" ht="15.75" customHeight="1">
      <c r="AH981" s="2"/>
      <c r="AW981" s="2"/>
      <c r="AX981" s="2"/>
      <c r="AY981" s="2"/>
    </row>
    <row r="982" ht="15.75" customHeight="1">
      <c r="AH982" s="2"/>
      <c r="AW982" s="2"/>
      <c r="AX982" s="2"/>
      <c r="AY982" s="2"/>
    </row>
    <row r="983" ht="15.75" customHeight="1">
      <c r="AH983" s="2"/>
      <c r="AW983" s="2"/>
      <c r="AX983" s="2"/>
      <c r="AY983" s="2"/>
    </row>
    <row r="984" ht="15.75" customHeight="1">
      <c r="AH984" s="2"/>
      <c r="AW984" s="2"/>
      <c r="AX984" s="2"/>
      <c r="AY984" s="2"/>
    </row>
    <row r="985" ht="15.75" customHeight="1">
      <c r="AH985" s="2"/>
      <c r="AW985" s="2"/>
      <c r="AX985" s="2"/>
      <c r="AY985" s="2"/>
    </row>
    <row r="986" ht="15.75" customHeight="1">
      <c r="AH986" s="2"/>
      <c r="AW986" s="2"/>
      <c r="AX986" s="2"/>
      <c r="AY986" s="2"/>
    </row>
    <row r="987" ht="15.75" customHeight="1">
      <c r="AH987" s="2"/>
      <c r="AW987" s="2"/>
      <c r="AX987" s="2"/>
      <c r="AY987" s="2"/>
    </row>
    <row r="988" ht="15.75" customHeight="1">
      <c r="AH988" s="2"/>
      <c r="AW988" s="2"/>
      <c r="AX988" s="2"/>
      <c r="AY988" s="2"/>
    </row>
    <row r="989" ht="15.75" customHeight="1">
      <c r="AH989" s="2"/>
      <c r="AW989" s="2"/>
      <c r="AX989" s="2"/>
      <c r="AY989" s="2"/>
    </row>
    <row r="990" ht="15.75" customHeight="1">
      <c r="AH990" s="2"/>
      <c r="AW990" s="2"/>
      <c r="AX990" s="2"/>
      <c r="AY990" s="2"/>
    </row>
    <row r="991" ht="15.75" customHeight="1">
      <c r="AH991" s="2"/>
      <c r="AW991" s="2"/>
      <c r="AX991" s="2"/>
      <c r="AY991" s="2"/>
    </row>
    <row r="992" ht="15.75" customHeight="1">
      <c r="AH992" s="2"/>
      <c r="AW992" s="2"/>
      <c r="AX992" s="2"/>
      <c r="AY992" s="2"/>
    </row>
    <row r="993" ht="15.75" customHeight="1">
      <c r="AH993" s="2"/>
      <c r="AW993" s="2"/>
      <c r="AX993" s="2"/>
      <c r="AY993" s="2"/>
    </row>
    <row r="994" ht="15.75" customHeight="1">
      <c r="AH994" s="2"/>
      <c r="AW994" s="2"/>
      <c r="AX994" s="2"/>
      <c r="AY994" s="2"/>
    </row>
    <row r="995" ht="15.75" customHeight="1">
      <c r="AH995" s="2"/>
      <c r="AW995" s="2"/>
      <c r="AX995" s="2"/>
      <c r="AY995" s="2"/>
    </row>
    <row r="996" ht="15.75" customHeight="1">
      <c r="AH996" s="2"/>
      <c r="AW996" s="2"/>
      <c r="AX996" s="2"/>
      <c r="AY996" s="2"/>
    </row>
    <row r="997" ht="15.75" customHeight="1">
      <c r="AH997" s="2"/>
      <c r="AW997" s="2"/>
      <c r="AX997" s="2"/>
      <c r="AY997" s="2"/>
    </row>
    <row r="998" ht="15.75" customHeight="1">
      <c r="AH998" s="2"/>
      <c r="AW998" s="2"/>
      <c r="AX998" s="2"/>
      <c r="AY998" s="2"/>
    </row>
    <row r="999" ht="15.75" customHeight="1">
      <c r="AH999" s="2"/>
      <c r="AW999" s="2"/>
      <c r="AX999" s="2"/>
      <c r="AY999" s="2"/>
    </row>
    <row r="1000" ht="15.75" customHeight="1">
      <c r="AH1000" s="2"/>
      <c r="AW1000" s="2"/>
      <c r="AX1000" s="2"/>
      <c r="AY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</row>
    <row r="2">
      <c r="A2" s="1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</row>
    <row r="3">
      <c r="A3" s="1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</row>
    <row r="4">
      <c r="A4" s="1" t="s">
        <v>4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</row>
    <row r="6">
      <c r="A6" s="1" t="s">
        <v>6</v>
      </c>
      <c r="B6" s="1" t="s">
        <v>7</v>
      </c>
      <c r="C6" s="1" t="s">
        <v>8</v>
      </c>
      <c r="D6" s="1" t="s">
        <v>9</v>
      </c>
      <c r="E6" s="1" t="s">
        <v>10</v>
      </c>
      <c r="F6" s="1" t="s">
        <v>11</v>
      </c>
      <c r="G6" s="1" t="s">
        <v>12</v>
      </c>
      <c r="H6" s="1" t="s">
        <v>13</v>
      </c>
      <c r="I6" s="1" t="s">
        <v>14</v>
      </c>
      <c r="J6" s="1" t="s">
        <v>15</v>
      </c>
      <c r="K6" s="1" t="s">
        <v>16</v>
      </c>
      <c r="L6" s="1" t="s">
        <v>17</v>
      </c>
      <c r="M6" s="1" t="s">
        <v>18</v>
      </c>
      <c r="N6" s="1" t="s">
        <v>19</v>
      </c>
      <c r="O6" s="1" t="s">
        <v>20</v>
      </c>
      <c r="P6" s="1" t="s">
        <v>21</v>
      </c>
      <c r="Q6" s="1" t="s">
        <v>22</v>
      </c>
      <c r="R6" s="1" t="s">
        <v>23</v>
      </c>
      <c r="S6" s="1" t="s">
        <v>24</v>
      </c>
      <c r="T6" s="1" t="s">
        <v>25</v>
      </c>
      <c r="U6" s="1" t="s">
        <v>26</v>
      </c>
      <c r="V6" s="1" t="s">
        <v>27</v>
      </c>
      <c r="W6" s="1" t="s">
        <v>28</v>
      </c>
      <c r="X6" s="1" t="s">
        <v>29</v>
      </c>
      <c r="Y6" s="1" t="s">
        <v>30</v>
      </c>
      <c r="Z6" s="1" t="s">
        <v>31</v>
      </c>
      <c r="AA6" s="1" t="s">
        <v>32</v>
      </c>
      <c r="AB6" s="1" t="s">
        <v>33</v>
      </c>
      <c r="AC6" s="1" t="s">
        <v>34</v>
      </c>
      <c r="AD6" s="1" t="s">
        <v>35</v>
      </c>
      <c r="AE6" s="1" t="s">
        <v>36</v>
      </c>
      <c r="AF6" s="1" t="s">
        <v>37</v>
      </c>
      <c r="AG6" s="1" t="s">
        <v>38</v>
      </c>
      <c r="AH6" s="1" t="s">
        <v>39</v>
      </c>
      <c r="AI6" s="1" t="s">
        <v>40</v>
      </c>
      <c r="AJ6" s="1" t="s">
        <v>41</v>
      </c>
      <c r="AK6" s="1" t="s">
        <v>42</v>
      </c>
      <c r="AL6" s="1" t="s">
        <v>43</v>
      </c>
      <c r="AM6" s="1" t="s">
        <v>44</v>
      </c>
      <c r="AN6" s="1" t="s">
        <v>45</v>
      </c>
      <c r="AO6" s="1" t="s">
        <v>46</v>
      </c>
      <c r="AP6" s="1" t="s">
        <v>47</v>
      </c>
      <c r="AQ6" s="1" t="s">
        <v>48</v>
      </c>
      <c r="AR6" s="1" t="s">
        <v>49</v>
      </c>
      <c r="AS6" s="1" t="s">
        <v>50</v>
      </c>
      <c r="AT6" s="1" t="s">
        <v>51</v>
      </c>
      <c r="AU6" s="1" t="s">
        <v>52</v>
      </c>
      <c r="AV6" s="1" t="s">
        <v>53</v>
      </c>
      <c r="AW6" s="1" t="s">
        <v>54</v>
      </c>
      <c r="AX6" s="1" t="s">
        <v>55</v>
      </c>
      <c r="AY6" s="1" t="s">
        <v>56</v>
      </c>
    </row>
    <row r="7">
      <c r="A7" s="3" t="s">
        <v>57</v>
      </c>
      <c r="B7" s="3" t="s">
        <v>58</v>
      </c>
      <c r="C7" s="3" t="s">
        <v>59</v>
      </c>
      <c r="D7" s="3" t="s">
        <v>60</v>
      </c>
      <c r="E7" s="3" t="s">
        <v>61</v>
      </c>
      <c r="F7" s="3" t="s">
        <v>62</v>
      </c>
      <c r="G7" s="3" t="s">
        <v>63</v>
      </c>
      <c r="H7" s="3" t="s">
        <v>64</v>
      </c>
      <c r="I7" s="5">
        <v>30.0</v>
      </c>
      <c r="J7" s="5">
        <v>40.0</v>
      </c>
      <c r="K7" s="5">
        <v>0.0</v>
      </c>
      <c r="L7" s="5">
        <v>2489778.0</v>
      </c>
      <c r="M7" s="5">
        <v>2489778.0</v>
      </c>
      <c r="N7" s="5">
        <v>1797330.0</v>
      </c>
      <c r="O7" s="5">
        <v>219115.0</v>
      </c>
      <c r="P7" s="5">
        <v>0.0</v>
      </c>
      <c r="Q7" s="5">
        <v>0.0</v>
      </c>
      <c r="R7" s="5">
        <v>0.0</v>
      </c>
      <c r="S7" s="3" t="s">
        <v>64</v>
      </c>
      <c r="T7" s="3" t="s">
        <v>64</v>
      </c>
      <c r="U7" s="3" t="s">
        <v>64</v>
      </c>
      <c r="V7" s="3" t="s">
        <v>64</v>
      </c>
      <c r="W7" s="3" t="s">
        <v>64</v>
      </c>
      <c r="X7" s="3" t="s">
        <v>64</v>
      </c>
      <c r="Y7" s="5">
        <v>30000.0</v>
      </c>
      <c r="Z7" s="3" t="s">
        <v>64</v>
      </c>
      <c r="AA7" s="5">
        <v>473333.0</v>
      </c>
      <c r="AB7" s="5">
        <v>130000.0</v>
      </c>
      <c r="AC7" s="3" t="s">
        <v>64</v>
      </c>
      <c r="AD7" s="3" t="s">
        <v>64</v>
      </c>
      <c r="AE7" s="3" t="s">
        <v>64</v>
      </c>
      <c r="AF7" s="5">
        <v>100000.0</v>
      </c>
      <c r="AG7" s="3" t="s">
        <v>64</v>
      </c>
      <c r="AH7" s="6">
        <v>2749778.0</v>
      </c>
      <c r="AI7" s="5">
        <v>280598.0</v>
      </c>
      <c r="AJ7" s="5">
        <v>0.0</v>
      </c>
      <c r="AK7" s="5">
        <v>174284.0</v>
      </c>
      <c r="AL7" s="5">
        <v>0.0</v>
      </c>
      <c r="AM7" s="5">
        <v>14939.0</v>
      </c>
      <c r="AN7" s="5">
        <v>42108.0</v>
      </c>
      <c r="AO7" s="5">
        <v>0.0</v>
      </c>
      <c r="AP7" s="3" t="s">
        <v>64</v>
      </c>
      <c r="AQ7" s="3" t="s">
        <v>64</v>
      </c>
      <c r="AR7" s="3" t="s">
        <v>64</v>
      </c>
      <c r="AS7" s="3" t="s">
        <v>64</v>
      </c>
      <c r="AT7" s="3" t="s">
        <v>64</v>
      </c>
      <c r="AU7" s="3" t="s">
        <v>64</v>
      </c>
      <c r="AV7" s="3" t="s">
        <v>64</v>
      </c>
      <c r="AW7" s="6">
        <v>511929.0</v>
      </c>
      <c r="AX7" s="6">
        <v>2237849.0</v>
      </c>
      <c r="AY7" s="6">
        <v>0.0</v>
      </c>
    </row>
    <row r="8">
      <c r="A8" s="3" t="s">
        <v>65</v>
      </c>
      <c r="B8" s="3" t="s">
        <v>58</v>
      </c>
      <c r="C8" s="3" t="s">
        <v>66</v>
      </c>
      <c r="D8" s="3" t="s">
        <v>67</v>
      </c>
      <c r="E8" s="3" t="s">
        <v>68</v>
      </c>
      <c r="F8" s="3" t="s">
        <v>69</v>
      </c>
      <c r="G8" s="3" t="s">
        <v>70</v>
      </c>
      <c r="H8" s="3" t="s">
        <v>71</v>
      </c>
      <c r="I8" s="5">
        <v>0.0</v>
      </c>
      <c r="J8" s="5">
        <v>40.0</v>
      </c>
      <c r="K8" s="5">
        <v>0.0</v>
      </c>
      <c r="L8" s="5">
        <v>0.0</v>
      </c>
      <c r="M8" s="5">
        <v>0.0</v>
      </c>
      <c r="N8" s="5">
        <v>0.0</v>
      </c>
      <c r="O8" s="5">
        <v>0.0</v>
      </c>
      <c r="P8" s="5">
        <v>0.0</v>
      </c>
      <c r="Q8" s="5">
        <v>0.0</v>
      </c>
      <c r="R8" s="5">
        <v>0.0</v>
      </c>
      <c r="S8" s="3" t="s">
        <v>64</v>
      </c>
      <c r="T8" s="3" t="s">
        <v>64</v>
      </c>
      <c r="U8" s="3" t="s">
        <v>64</v>
      </c>
      <c r="V8" s="3" t="s">
        <v>64</v>
      </c>
      <c r="W8" s="3" t="s">
        <v>64</v>
      </c>
      <c r="X8" s="3" t="s">
        <v>64</v>
      </c>
      <c r="Y8" s="3" t="s">
        <v>64</v>
      </c>
      <c r="Z8" s="3" t="s">
        <v>64</v>
      </c>
      <c r="AA8" s="3" t="s">
        <v>64</v>
      </c>
      <c r="AB8" s="5">
        <v>0.0</v>
      </c>
      <c r="AC8" s="3" t="s">
        <v>64</v>
      </c>
      <c r="AD8" s="3" t="s">
        <v>64</v>
      </c>
      <c r="AE8" s="3" t="s">
        <v>64</v>
      </c>
      <c r="AF8" s="5">
        <v>0.0</v>
      </c>
      <c r="AG8" s="3" t="s">
        <v>64</v>
      </c>
      <c r="AH8" s="6">
        <v>0.0</v>
      </c>
      <c r="AI8" s="5">
        <v>0.0</v>
      </c>
      <c r="AJ8" s="5">
        <v>0.0</v>
      </c>
      <c r="AK8" s="5">
        <v>0.0</v>
      </c>
      <c r="AL8" s="5">
        <v>0.0</v>
      </c>
      <c r="AM8" s="5">
        <v>0.0</v>
      </c>
      <c r="AN8" s="5">
        <v>0.0</v>
      </c>
      <c r="AO8" s="5">
        <v>0.0</v>
      </c>
      <c r="AP8" s="3" t="s">
        <v>64</v>
      </c>
      <c r="AQ8" s="3" t="s">
        <v>64</v>
      </c>
      <c r="AR8" s="3" t="s">
        <v>64</v>
      </c>
      <c r="AS8" s="3" t="s">
        <v>64</v>
      </c>
      <c r="AT8" s="3" t="s">
        <v>64</v>
      </c>
      <c r="AU8" s="3" t="s">
        <v>64</v>
      </c>
      <c r="AV8" s="3" t="s">
        <v>64</v>
      </c>
      <c r="AW8" s="6">
        <v>0.0</v>
      </c>
      <c r="AX8" s="6">
        <v>0.0</v>
      </c>
      <c r="AY8" s="6">
        <v>0.0</v>
      </c>
    </row>
    <row r="9">
      <c r="A9" s="3" t="s">
        <v>72</v>
      </c>
      <c r="B9" s="3" t="s">
        <v>58</v>
      </c>
      <c r="C9" s="3" t="s">
        <v>73</v>
      </c>
      <c r="D9" s="3" t="s">
        <v>74</v>
      </c>
      <c r="E9" s="3" t="s">
        <v>75</v>
      </c>
      <c r="F9" s="3" t="s">
        <v>76</v>
      </c>
      <c r="G9" s="3" t="s">
        <v>63</v>
      </c>
      <c r="H9" s="3" t="s">
        <v>64</v>
      </c>
      <c r="I9" s="5">
        <v>30.0</v>
      </c>
      <c r="J9" s="5">
        <v>40.0</v>
      </c>
      <c r="K9" s="5">
        <v>0.0</v>
      </c>
      <c r="L9" s="5">
        <v>2002961.0</v>
      </c>
      <c r="M9" s="5">
        <v>2002961.0</v>
      </c>
      <c r="N9" s="5">
        <v>1310513.0</v>
      </c>
      <c r="O9" s="5">
        <v>219115.0</v>
      </c>
      <c r="P9" s="5">
        <v>0.0</v>
      </c>
      <c r="Q9" s="5">
        <v>0.0</v>
      </c>
      <c r="R9" s="5">
        <v>0.0</v>
      </c>
      <c r="S9" s="3" t="s">
        <v>64</v>
      </c>
      <c r="T9" s="3" t="s">
        <v>64</v>
      </c>
      <c r="U9" s="3" t="s">
        <v>64</v>
      </c>
      <c r="V9" s="3" t="s">
        <v>64</v>
      </c>
      <c r="W9" s="3" t="s">
        <v>64</v>
      </c>
      <c r="X9" s="3" t="s">
        <v>64</v>
      </c>
      <c r="Y9" s="5">
        <v>75000.0</v>
      </c>
      <c r="Z9" s="3" t="s">
        <v>64</v>
      </c>
      <c r="AA9" s="5">
        <v>473333.0</v>
      </c>
      <c r="AB9" s="5">
        <v>150000.0</v>
      </c>
      <c r="AC9" s="3" t="s">
        <v>64</v>
      </c>
      <c r="AD9" s="3" t="s">
        <v>64</v>
      </c>
      <c r="AE9" s="3" t="s">
        <v>64</v>
      </c>
      <c r="AF9" s="5">
        <v>75000.0</v>
      </c>
      <c r="AG9" s="3" t="s">
        <v>64</v>
      </c>
      <c r="AH9" s="6">
        <v>2302961.0</v>
      </c>
      <c r="AI9" s="5">
        <v>209510.0</v>
      </c>
      <c r="AJ9" s="5">
        <v>5000.0</v>
      </c>
      <c r="AK9" s="5">
        <v>140207.0</v>
      </c>
      <c r="AL9" s="5">
        <v>0.0</v>
      </c>
      <c r="AM9" s="5">
        <v>12018.0</v>
      </c>
      <c r="AN9" s="5">
        <v>26959.0</v>
      </c>
      <c r="AO9" s="5">
        <v>0.0</v>
      </c>
      <c r="AP9" s="3" t="s">
        <v>64</v>
      </c>
      <c r="AQ9" s="3" t="s">
        <v>64</v>
      </c>
      <c r="AR9" s="5">
        <v>65000.0</v>
      </c>
      <c r="AS9" s="3" t="s">
        <v>64</v>
      </c>
      <c r="AT9" s="3" t="s">
        <v>64</v>
      </c>
      <c r="AU9" s="3" t="s">
        <v>64</v>
      </c>
      <c r="AV9" s="3" t="s">
        <v>64</v>
      </c>
      <c r="AW9" s="6">
        <v>458694.0</v>
      </c>
      <c r="AX9" s="6">
        <v>1844267.0</v>
      </c>
      <c r="AY9" s="6">
        <v>0.0</v>
      </c>
    </row>
    <row r="10">
      <c r="A10" s="3" t="s">
        <v>83</v>
      </c>
      <c r="B10" s="3" t="s">
        <v>58</v>
      </c>
      <c r="C10" s="3" t="s">
        <v>84</v>
      </c>
      <c r="D10" s="3" t="s">
        <v>85</v>
      </c>
      <c r="E10" s="3" t="s">
        <v>86</v>
      </c>
      <c r="F10" s="3" t="s">
        <v>87</v>
      </c>
      <c r="G10" s="3" t="s">
        <v>88</v>
      </c>
      <c r="H10" s="3" t="s">
        <v>71</v>
      </c>
      <c r="I10" s="5">
        <v>30.0</v>
      </c>
      <c r="J10" s="5">
        <v>42.0</v>
      </c>
      <c r="K10" s="5">
        <v>0.0</v>
      </c>
      <c r="L10" s="5">
        <v>1025146.0</v>
      </c>
      <c r="M10" s="5">
        <v>1025146.0</v>
      </c>
      <c r="N10" s="5">
        <v>820117.0</v>
      </c>
      <c r="O10" s="5">
        <v>205029.0</v>
      </c>
      <c r="P10" s="5">
        <v>0.0</v>
      </c>
      <c r="Q10" s="5">
        <v>0.0</v>
      </c>
      <c r="R10" s="5">
        <v>0.0</v>
      </c>
      <c r="S10" s="3" t="s">
        <v>64</v>
      </c>
      <c r="T10" s="3" t="s">
        <v>64</v>
      </c>
      <c r="U10" s="3" t="s">
        <v>64</v>
      </c>
      <c r="V10" s="3" t="s">
        <v>64</v>
      </c>
      <c r="W10" s="3" t="s">
        <v>64</v>
      </c>
      <c r="X10" s="3" t="s">
        <v>64</v>
      </c>
      <c r="Y10" s="3" t="s">
        <v>64</v>
      </c>
      <c r="Z10" s="3" t="s">
        <v>64</v>
      </c>
      <c r="AA10" s="3" t="s">
        <v>64</v>
      </c>
      <c r="AB10" s="5">
        <v>90000.0</v>
      </c>
      <c r="AC10" s="3" t="s">
        <v>64</v>
      </c>
      <c r="AD10" s="3" t="s">
        <v>64</v>
      </c>
      <c r="AE10" s="3" t="s">
        <v>64</v>
      </c>
      <c r="AF10" s="5">
        <v>90000.0</v>
      </c>
      <c r="AG10" s="3" t="s">
        <v>64</v>
      </c>
      <c r="AH10" s="6">
        <v>1205146.0</v>
      </c>
      <c r="AI10" s="5">
        <v>108460.0</v>
      </c>
      <c r="AJ10" s="5">
        <v>0.0</v>
      </c>
      <c r="AK10" s="5">
        <v>71760.0</v>
      </c>
      <c r="AL10" s="5">
        <v>0.0</v>
      </c>
      <c r="AM10" s="5">
        <v>6151.0</v>
      </c>
      <c r="AN10" s="5">
        <v>0.0</v>
      </c>
      <c r="AO10" s="5">
        <v>0.0</v>
      </c>
      <c r="AP10" s="3" t="s">
        <v>64</v>
      </c>
      <c r="AQ10" s="3" t="s">
        <v>64</v>
      </c>
      <c r="AR10" s="3" t="s">
        <v>64</v>
      </c>
      <c r="AS10" s="3" t="s">
        <v>64</v>
      </c>
      <c r="AT10" s="3" t="s">
        <v>64</v>
      </c>
      <c r="AU10" s="3" t="s">
        <v>64</v>
      </c>
      <c r="AV10" s="3" t="s">
        <v>64</v>
      </c>
      <c r="AW10" s="6">
        <v>186371.0</v>
      </c>
      <c r="AX10" s="6">
        <v>1018775.0</v>
      </c>
      <c r="AY10" s="6">
        <v>0.0</v>
      </c>
    </row>
    <row r="11">
      <c r="A11" s="3" t="s">
        <v>95</v>
      </c>
      <c r="B11" s="3" t="s">
        <v>58</v>
      </c>
      <c r="C11" s="3" t="s">
        <v>97</v>
      </c>
      <c r="D11" s="3" t="s">
        <v>100</v>
      </c>
      <c r="E11" s="3" t="s">
        <v>101</v>
      </c>
      <c r="F11" s="3" t="s">
        <v>102</v>
      </c>
      <c r="G11" s="3" t="s">
        <v>104</v>
      </c>
      <c r="H11" s="3" t="s">
        <v>106</v>
      </c>
      <c r="I11" s="5">
        <v>30.0</v>
      </c>
      <c r="J11" s="5">
        <v>44.0</v>
      </c>
      <c r="K11" s="5">
        <v>0.0</v>
      </c>
      <c r="L11" s="5">
        <v>3678639.0</v>
      </c>
      <c r="M11" s="5">
        <v>5526134.0</v>
      </c>
      <c r="N11" s="5">
        <v>1.2365703E7</v>
      </c>
      <c r="O11" s="5">
        <v>219115.0</v>
      </c>
      <c r="P11" s="5">
        <v>0.0</v>
      </c>
      <c r="Q11" s="5">
        <v>0.0</v>
      </c>
      <c r="R11" s="5">
        <v>0.0</v>
      </c>
      <c r="S11" s="3" t="s">
        <v>64</v>
      </c>
      <c r="T11" s="3" t="s">
        <v>64</v>
      </c>
      <c r="U11" s="3" t="s">
        <v>64</v>
      </c>
      <c r="V11" s="3" t="s">
        <v>64</v>
      </c>
      <c r="W11" s="3" t="s">
        <v>64</v>
      </c>
      <c r="X11" s="3" t="s">
        <v>64</v>
      </c>
      <c r="Y11" s="3" t="s">
        <v>64</v>
      </c>
      <c r="Z11" s="3" t="s">
        <v>64</v>
      </c>
      <c r="AA11" s="3" t="s">
        <v>64</v>
      </c>
      <c r="AB11" s="3" t="s">
        <v>64</v>
      </c>
      <c r="AC11" s="3" t="s">
        <v>64</v>
      </c>
      <c r="AD11" s="3" t="s">
        <v>64</v>
      </c>
      <c r="AE11" s="3" t="s">
        <v>64</v>
      </c>
      <c r="AF11" s="3" t="s">
        <v>64</v>
      </c>
      <c r="AG11" s="3" t="s">
        <v>64</v>
      </c>
      <c r="AH11" s="6">
        <v>1.2584818E7</v>
      </c>
      <c r="AI11" s="5">
        <v>420836.0</v>
      </c>
      <c r="AJ11" s="5">
        <v>0.0</v>
      </c>
      <c r="AK11" s="5">
        <v>257505.0</v>
      </c>
      <c r="AL11" s="5">
        <v>125278.0</v>
      </c>
      <c r="AM11" s="5">
        <v>0.0</v>
      </c>
      <c r="AN11" s="5">
        <v>2496412.0</v>
      </c>
      <c r="AO11" s="5">
        <v>0.0</v>
      </c>
      <c r="AP11" s="3" t="s">
        <v>64</v>
      </c>
      <c r="AQ11" s="3" t="s">
        <v>64</v>
      </c>
      <c r="AR11" s="3" t="s">
        <v>64</v>
      </c>
      <c r="AS11" s="3" t="s">
        <v>64</v>
      </c>
      <c r="AT11" s="3" t="s">
        <v>64</v>
      </c>
      <c r="AU11" s="3" t="s">
        <v>64</v>
      </c>
      <c r="AV11" s="3" t="s">
        <v>64</v>
      </c>
      <c r="AW11" s="6">
        <v>3300031.0</v>
      </c>
      <c r="AX11" s="6">
        <v>9284787.0</v>
      </c>
      <c r="AY11" s="6">
        <v>0.0</v>
      </c>
    </row>
    <row r="12">
      <c r="A12" s="3" t="s">
        <v>112</v>
      </c>
      <c r="B12" s="3" t="s">
        <v>58</v>
      </c>
      <c r="C12" s="3" t="s">
        <v>97</v>
      </c>
      <c r="D12" s="3" t="s">
        <v>100</v>
      </c>
      <c r="E12" s="3" t="s">
        <v>113</v>
      </c>
      <c r="F12" s="3" t="s">
        <v>114</v>
      </c>
      <c r="G12" s="3" t="s">
        <v>104</v>
      </c>
      <c r="H12" s="3" t="s">
        <v>106</v>
      </c>
      <c r="I12" s="5">
        <v>30.0</v>
      </c>
      <c r="J12" s="5">
        <v>42.0</v>
      </c>
      <c r="K12" s="5">
        <v>0.0</v>
      </c>
      <c r="L12" s="5">
        <v>861875.0</v>
      </c>
      <c r="M12" s="5">
        <v>861875.0</v>
      </c>
      <c r="N12" s="5">
        <v>689500.0</v>
      </c>
      <c r="O12" s="5">
        <v>172375.0</v>
      </c>
      <c r="P12" s="5">
        <v>0.0</v>
      </c>
      <c r="Q12" s="5">
        <v>0.0</v>
      </c>
      <c r="R12" s="5">
        <v>0.0</v>
      </c>
      <c r="S12" s="3" t="s">
        <v>64</v>
      </c>
      <c r="T12" s="3" t="s">
        <v>64</v>
      </c>
      <c r="U12" s="3" t="s">
        <v>64</v>
      </c>
      <c r="V12" s="3" t="s">
        <v>64</v>
      </c>
      <c r="W12" s="3" t="s">
        <v>64</v>
      </c>
      <c r="X12" s="3" t="s">
        <v>64</v>
      </c>
      <c r="Y12" s="3" t="s">
        <v>64</v>
      </c>
      <c r="Z12" s="3" t="s">
        <v>64</v>
      </c>
      <c r="AA12" s="3" t="s">
        <v>64</v>
      </c>
      <c r="AB12" s="3" t="s">
        <v>64</v>
      </c>
      <c r="AC12" s="3" t="s">
        <v>64</v>
      </c>
      <c r="AD12" s="3" t="s">
        <v>64</v>
      </c>
      <c r="AE12" s="3" t="s">
        <v>64</v>
      </c>
      <c r="AF12" s="3" t="s">
        <v>64</v>
      </c>
      <c r="AG12" s="3" t="s">
        <v>64</v>
      </c>
      <c r="AH12" s="6">
        <v>861875.0</v>
      </c>
      <c r="AI12" s="5">
        <v>96185.0</v>
      </c>
      <c r="AJ12" s="5">
        <v>0.0</v>
      </c>
      <c r="AK12" s="5">
        <v>60331.0</v>
      </c>
      <c r="AL12" s="5">
        <v>156136.0</v>
      </c>
      <c r="AM12" s="5">
        <v>5171.0</v>
      </c>
      <c r="AN12" s="5">
        <v>0.0</v>
      </c>
      <c r="AO12" s="5">
        <v>0.0</v>
      </c>
      <c r="AP12" s="3" t="s">
        <v>64</v>
      </c>
      <c r="AQ12" s="3" t="s">
        <v>64</v>
      </c>
      <c r="AR12" s="3" t="s">
        <v>64</v>
      </c>
      <c r="AS12" s="3" t="s">
        <v>64</v>
      </c>
      <c r="AT12" s="3" t="s">
        <v>64</v>
      </c>
      <c r="AU12" s="3" t="s">
        <v>64</v>
      </c>
      <c r="AV12" s="3" t="s">
        <v>64</v>
      </c>
      <c r="AW12" s="6">
        <v>317823.0</v>
      </c>
      <c r="AX12" s="6">
        <v>544052.0</v>
      </c>
      <c r="AY12" s="6">
        <v>0.0</v>
      </c>
    </row>
    <row r="13">
      <c r="A13" s="3" t="s">
        <v>120</v>
      </c>
      <c r="B13" s="3" t="s">
        <v>58</v>
      </c>
      <c r="C13" s="3" t="s">
        <v>121</v>
      </c>
      <c r="D13" s="3" t="s">
        <v>122</v>
      </c>
      <c r="E13" s="3" t="s">
        <v>123</v>
      </c>
      <c r="F13" s="3" t="s">
        <v>124</v>
      </c>
      <c r="G13" s="3" t="s">
        <v>125</v>
      </c>
      <c r="H13" s="3" t="s">
        <v>71</v>
      </c>
      <c r="I13" s="5">
        <v>30.0</v>
      </c>
      <c r="J13" s="5">
        <v>44.0</v>
      </c>
      <c r="K13" s="5">
        <v>0.0</v>
      </c>
      <c r="L13" s="5">
        <v>800000.0</v>
      </c>
      <c r="M13" s="5">
        <v>800000.0</v>
      </c>
      <c r="N13" s="5">
        <v>640000.0</v>
      </c>
      <c r="O13" s="5">
        <v>160000.0</v>
      </c>
      <c r="P13" s="5">
        <v>0.0</v>
      </c>
      <c r="Q13" s="5">
        <v>0.0</v>
      </c>
      <c r="R13" s="5">
        <v>0.0</v>
      </c>
      <c r="S13" s="3" t="s">
        <v>64</v>
      </c>
      <c r="T13" s="3" t="s">
        <v>64</v>
      </c>
      <c r="U13" s="3" t="s">
        <v>64</v>
      </c>
      <c r="V13" s="3" t="s">
        <v>64</v>
      </c>
      <c r="W13" s="3" t="s">
        <v>64</v>
      </c>
      <c r="X13" s="3" t="s">
        <v>64</v>
      </c>
      <c r="Y13" s="3" t="s">
        <v>64</v>
      </c>
      <c r="Z13" s="3" t="s">
        <v>64</v>
      </c>
      <c r="AA13" s="3" t="s">
        <v>64</v>
      </c>
      <c r="AB13" s="3" t="s">
        <v>64</v>
      </c>
      <c r="AC13" s="3" t="s">
        <v>64</v>
      </c>
      <c r="AD13" s="3" t="s">
        <v>64</v>
      </c>
      <c r="AE13" s="3" t="s">
        <v>64</v>
      </c>
      <c r="AF13" s="3" t="s">
        <v>64</v>
      </c>
      <c r="AG13" s="3" t="s">
        <v>64</v>
      </c>
      <c r="AH13" s="6">
        <v>800000.0</v>
      </c>
      <c r="AI13" s="5">
        <v>83680.0</v>
      </c>
      <c r="AJ13" s="5">
        <v>0.0</v>
      </c>
      <c r="AK13" s="5">
        <v>56000.0</v>
      </c>
      <c r="AL13" s="5">
        <v>0.0</v>
      </c>
      <c r="AM13" s="5">
        <v>4800.0</v>
      </c>
      <c r="AN13" s="5">
        <v>0.0</v>
      </c>
      <c r="AO13" s="5">
        <v>0.0</v>
      </c>
      <c r="AP13" s="3" t="s">
        <v>64</v>
      </c>
      <c r="AQ13" s="3" t="s">
        <v>64</v>
      </c>
      <c r="AR13" s="3" t="s">
        <v>64</v>
      </c>
      <c r="AS13" s="3" t="s">
        <v>64</v>
      </c>
      <c r="AT13" s="3" t="s">
        <v>64</v>
      </c>
      <c r="AU13" s="3" t="s">
        <v>64</v>
      </c>
      <c r="AV13" s="3" t="s">
        <v>64</v>
      </c>
      <c r="AW13" s="6">
        <v>144480.0</v>
      </c>
      <c r="AX13" s="6">
        <v>655520.0</v>
      </c>
      <c r="AY13" s="6">
        <v>0.0</v>
      </c>
    </row>
    <row r="14">
      <c r="A14" s="3" t="s">
        <v>126</v>
      </c>
      <c r="B14" s="3" t="s">
        <v>58</v>
      </c>
      <c r="C14" s="3" t="s">
        <v>127</v>
      </c>
      <c r="D14" s="3" t="s">
        <v>128</v>
      </c>
      <c r="E14" s="3" t="s">
        <v>129</v>
      </c>
      <c r="F14" s="3" t="s">
        <v>130</v>
      </c>
      <c r="G14" s="3" t="s">
        <v>131</v>
      </c>
      <c r="H14" s="3" t="s">
        <v>71</v>
      </c>
      <c r="I14" s="5">
        <v>30.0</v>
      </c>
      <c r="J14" s="5">
        <v>40.0</v>
      </c>
      <c r="K14" s="5">
        <v>0.0</v>
      </c>
      <c r="L14" s="5">
        <v>2500533.0</v>
      </c>
      <c r="M14" s="5">
        <v>2500533.0</v>
      </c>
      <c r="N14" s="5">
        <v>2281418.0</v>
      </c>
      <c r="O14" s="5">
        <v>219115.0</v>
      </c>
      <c r="P14" s="5">
        <v>0.0</v>
      </c>
      <c r="Q14" s="5">
        <v>0.0</v>
      </c>
      <c r="R14" s="5">
        <v>0.0</v>
      </c>
      <c r="S14" s="3" t="s">
        <v>64</v>
      </c>
      <c r="T14" s="3" t="s">
        <v>64</v>
      </c>
      <c r="U14" s="3" t="s">
        <v>64</v>
      </c>
      <c r="V14" s="3" t="s">
        <v>64</v>
      </c>
      <c r="W14" s="3" t="s">
        <v>64</v>
      </c>
      <c r="X14" s="3" t="s">
        <v>64</v>
      </c>
      <c r="Y14" s="3" t="s">
        <v>64</v>
      </c>
      <c r="Z14" s="3" t="s">
        <v>64</v>
      </c>
      <c r="AA14" s="3" t="s">
        <v>64</v>
      </c>
      <c r="AB14" s="3" t="s">
        <v>64</v>
      </c>
      <c r="AC14" s="3" t="s">
        <v>64</v>
      </c>
      <c r="AD14" s="3" t="s">
        <v>64</v>
      </c>
      <c r="AE14" s="3" t="s">
        <v>64</v>
      </c>
      <c r="AF14" s="3" t="s">
        <v>64</v>
      </c>
      <c r="AG14" s="3" t="s">
        <v>64</v>
      </c>
      <c r="AH14" s="6">
        <v>2500533.0</v>
      </c>
      <c r="AI14" s="5">
        <v>261556.0</v>
      </c>
      <c r="AJ14" s="5">
        <v>0.0</v>
      </c>
      <c r="AK14" s="5">
        <v>175037.0</v>
      </c>
      <c r="AL14" s="5">
        <v>55328.0</v>
      </c>
      <c r="AM14" s="5">
        <v>0.0</v>
      </c>
      <c r="AN14" s="5">
        <v>41654.0</v>
      </c>
      <c r="AO14" s="5">
        <v>0.0</v>
      </c>
      <c r="AP14" s="3" t="s">
        <v>64</v>
      </c>
      <c r="AQ14" s="3" t="s">
        <v>64</v>
      </c>
      <c r="AR14" s="3" t="s">
        <v>64</v>
      </c>
      <c r="AS14" s="3" t="s">
        <v>64</v>
      </c>
      <c r="AT14" s="3" t="s">
        <v>64</v>
      </c>
      <c r="AU14" s="3" t="s">
        <v>64</v>
      </c>
      <c r="AV14" s="3" t="s">
        <v>64</v>
      </c>
      <c r="AW14" s="6">
        <v>533575.0</v>
      </c>
      <c r="AX14" s="6">
        <v>1966958.0</v>
      </c>
      <c r="AY14" s="6">
        <v>0.0</v>
      </c>
    </row>
    <row r="15">
      <c r="A15" s="3" t="s">
        <v>132</v>
      </c>
      <c r="B15" s="3" t="s">
        <v>58</v>
      </c>
      <c r="C15" s="3" t="s">
        <v>133</v>
      </c>
      <c r="D15" s="3" t="s">
        <v>134</v>
      </c>
      <c r="E15" s="3" t="s">
        <v>135</v>
      </c>
      <c r="F15" s="3" t="s">
        <v>136</v>
      </c>
      <c r="G15" s="3" t="s">
        <v>125</v>
      </c>
      <c r="H15" s="3" t="s">
        <v>71</v>
      </c>
      <c r="I15" s="5">
        <v>30.0</v>
      </c>
      <c r="J15" s="5">
        <v>42.0</v>
      </c>
      <c r="K15" s="5">
        <v>0.0</v>
      </c>
      <c r="L15" s="5">
        <v>1356403.0</v>
      </c>
      <c r="M15" s="5">
        <v>1356403.0</v>
      </c>
      <c r="N15" s="5">
        <v>1137288.0</v>
      </c>
      <c r="O15" s="5">
        <v>219115.0</v>
      </c>
      <c r="P15" s="5">
        <v>0.0</v>
      </c>
      <c r="Q15" s="5">
        <v>0.0</v>
      </c>
      <c r="R15" s="5">
        <v>0.0</v>
      </c>
      <c r="S15" s="3" t="s">
        <v>64</v>
      </c>
      <c r="T15" s="3" t="s">
        <v>64</v>
      </c>
      <c r="U15" s="3" t="s">
        <v>64</v>
      </c>
      <c r="V15" s="3" t="s">
        <v>64</v>
      </c>
      <c r="W15" s="3" t="s">
        <v>64</v>
      </c>
      <c r="X15" s="3" t="s">
        <v>64</v>
      </c>
      <c r="Y15" s="3" t="s">
        <v>64</v>
      </c>
      <c r="Z15" s="3" t="s">
        <v>64</v>
      </c>
      <c r="AA15" s="3" t="s">
        <v>64</v>
      </c>
      <c r="AB15" s="3" t="s">
        <v>64</v>
      </c>
      <c r="AC15" s="3" t="s">
        <v>64</v>
      </c>
      <c r="AD15" s="3" t="s">
        <v>64</v>
      </c>
      <c r="AE15" s="3" t="s">
        <v>64</v>
      </c>
      <c r="AF15" s="3" t="s">
        <v>64</v>
      </c>
      <c r="AG15" s="3" t="s">
        <v>64</v>
      </c>
      <c r="AH15" s="6">
        <v>1356403.0</v>
      </c>
      <c r="AI15" s="5">
        <v>143507.0</v>
      </c>
      <c r="AJ15" s="5">
        <v>0.0</v>
      </c>
      <c r="AK15" s="5">
        <v>94948.0</v>
      </c>
      <c r="AL15" s="5">
        <v>0.0</v>
      </c>
      <c r="AM15" s="5">
        <v>8138.0</v>
      </c>
      <c r="AN15" s="5">
        <v>5702.0</v>
      </c>
      <c r="AO15" s="5">
        <v>0.0</v>
      </c>
      <c r="AP15" s="3" t="s">
        <v>64</v>
      </c>
      <c r="AQ15" s="3" t="s">
        <v>64</v>
      </c>
      <c r="AR15" s="3" t="s">
        <v>64</v>
      </c>
      <c r="AS15" s="3" t="s">
        <v>64</v>
      </c>
      <c r="AT15" s="3" t="s">
        <v>64</v>
      </c>
      <c r="AU15" s="3" t="s">
        <v>64</v>
      </c>
      <c r="AV15" s="3" t="s">
        <v>64</v>
      </c>
      <c r="AW15" s="6">
        <v>252295.0</v>
      </c>
      <c r="AX15" s="6">
        <v>1104108.0</v>
      </c>
      <c r="AY15" s="6">
        <v>0.0</v>
      </c>
    </row>
    <row r="16">
      <c r="A16" s="3" t="s">
        <v>137</v>
      </c>
      <c r="B16" s="3" t="s">
        <v>58</v>
      </c>
      <c r="C16" s="3" t="s">
        <v>138</v>
      </c>
      <c r="D16" s="3" t="s">
        <v>139</v>
      </c>
      <c r="E16" s="3" t="s">
        <v>140</v>
      </c>
      <c r="F16" s="3" t="s">
        <v>141</v>
      </c>
      <c r="G16" s="3" t="s">
        <v>70</v>
      </c>
      <c r="H16" s="3" t="s">
        <v>71</v>
      </c>
      <c r="I16" s="5">
        <v>29.0</v>
      </c>
      <c r="J16" s="5">
        <v>40.0</v>
      </c>
      <c r="K16" s="5">
        <v>0.0</v>
      </c>
      <c r="L16" s="5">
        <v>1283580.0</v>
      </c>
      <c r="M16" s="5">
        <v>1283580.0</v>
      </c>
      <c r="N16" s="5">
        <v>1064465.0</v>
      </c>
      <c r="O16" s="5">
        <v>219115.0</v>
      </c>
      <c r="P16" s="5">
        <v>0.0</v>
      </c>
      <c r="Q16" s="5">
        <v>0.0</v>
      </c>
      <c r="R16" s="5">
        <v>0.0</v>
      </c>
      <c r="S16" s="3" t="s">
        <v>64</v>
      </c>
      <c r="T16" s="3" t="s">
        <v>64</v>
      </c>
      <c r="U16" s="3" t="s">
        <v>64</v>
      </c>
      <c r="V16" s="3" t="s">
        <v>64</v>
      </c>
      <c r="W16" s="3" t="s">
        <v>64</v>
      </c>
      <c r="X16" s="3" t="s">
        <v>64</v>
      </c>
      <c r="Y16" s="3" t="s">
        <v>64</v>
      </c>
      <c r="Z16" s="3" t="s">
        <v>64</v>
      </c>
      <c r="AA16" s="3" t="s">
        <v>64</v>
      </c>
      <c r="AB16" s="5">
        <v>43500.0</v>
      </c>
      <c r="AC16" s="3" t="s">
        <v>64</v>
      </c>
      <c r="AD16" s="3" t="s">
        <v>64</v>
      </c>
      <c r="AE16" s="3" t="s">
        <v>64</v>
      </c>
      <c r="AF16" s="5">
        <v>43500.0</v>
      </c>
      <c r="AG16" s="3" t="s">
        <v>64</v>
      </c>
      <c r="AH16" s="6">
        <v>1370580.0</v>
      </c>
      <c r="AI16" s="5">
        <v>135803.0</v>
      </c>
      <c r="AJ16" s="5">
        <v>0.0</v>
      </c>
      <c r="AK16" s="5">
        <v>89851.0</v>
      </c>
      <c r="AL16" s="5">
        <v>0.0</v>
      </c>
      <c r="AM16" s="5">
        <v>7701.0</v>
      </c>
      <c r="AN16" s="5">
        <v>3319.0</v>
      </c>
      <c r="AO16" s="5">
        <v>0.0</v>
      </c>
      <c r="AP16" s="3" t="s">
        <v>64</v>
      </c>
      <c r="AQ16" s="3" t="s">
        <v>64</v>
      </c>
      <c r="AR16" s="3" t="s">
        <v>64</v>
      </c>
      <c r="AS16" s="3" t="s">
        <v>64</v>
      </c>
      <c r="AT16" s="3" t="s">
        <v>64</v>
      </c>
      <c r="AU16" s="3" t="s">
        <v>64</v>
      </c>
      <c r="AV16" s="3" t="s">
        <v>64</v>
      </c>
      <c r="AW16" s="6">
        <v>236674.0</v>
      </c>
      <c r="AX16" s="6">
        <v>1133906.0</v>
      </c>
      <c r="AY16" s="6">
        <v>0.0</v>
      </c>
    </row>
    <row r="17">
      <c r="A17" s="3" t="s">
        <v>142</v>
      </c>
      <c r="B17" s="3" t="s">
        <v>58</v>
      </c>
      <c r="C17" s="3" t="s">
        <v>143</v>
      </c>
      <c r="D17" s="3" t="s">
        <v>144</v>
      </c>
      <c r="E17" s="3" t="s">
        <v>145</v>
      </c>
      <c r="F17" s="3" t="s">
        <v>146</v>
      </c>
      <c r="G17" s="3" t="s">
        <v>147</v>
      </c>
      <c r="H17" s="3" t="s">
        <v>71</v>
      </c>
      <c r="I17" s="5">
        <v>30.0</v>
      </c>
      <c r="J17" s="5">
        <v>42.0</v>
      </c>
      <c r="K17" s="5">
        <v>0.0</v>
      </c>
      <c r="L17" s="5">
        <v>847959.0</v>
      </c>
      <c r="M17" s="5">
        <v>847959.0</v>
      </c>
      <c r="N17" s="5">
        <v>678367.0</v>
      </c>
      <c r="O17" s="5">
        <v>169592.0</v>
      </c>
      <c r="P17" s="5">
        <v>0.0</v>
      </c>
      <c r="Q17" s="5">
        <v>0.0</v>
      </c>
      <c r="R17" s="5">
        <v>0.0</v>
      </c>
      <c r="S17" s="3" t="s">
        <v>64</v>
      </c>
      <c r="T17" s="3" t="s">
        <v>64</v>
      </c>
      <c r="U17" s="3" t="s">
        <v>64</v>
      </c>
      <c r="V17" s="3" t="s">
        <v>64</v>
      </c>
      <c r="W17" s="3" t="s">
        <v>64</v>
      </c>
      <c r="X17" s="3" t="s">
        <v>64</v>
      </c>
      <c r="Y17" s="3" t="s">
        <v>64</v>
      </c>
      <c r="Z17" s="3" t="s">
        <v>64</v>
      </c>
      <c r="AA17" s="3" t="s">
        <v>64</v>
      </c>
      <c r="AB17" s="5">
        <v>90000.0</v>
      </c>
      <c r="AC17" s="3" t="s">
        <v>64</v>
      </c>
      <c r="AD17" s="3" t="s">
        <v>64</v>
      </c>
      <c r="AE17" s="3" t="s">
        <v>64</v>
      </c>
      <c r="AF17" s="5">
        <v>90000.0</v>
      </c>
      <c r="AG17" s="3" t="s">
        <v>64</v>
      </c>
      <c r="AH17" s="6">
        <v>1027959.0</v>
      </c>
      <c r="AI17" s="5">
        <v>89714.0</v>
      </c>
      <c r="AJ17" s="5">
        <v>0.0</v>
      </c>
      <c r="AK17" s="5">
        <v>59357.0</v>
      </c>
      <c r="AL17" s="5">
        <v>0.0</v>
      </c>
      <c r="AM17" s="5">
        <v>5088.0</v>
      </c>
      <c r="AN17" s="5">
        <v>0.0</v>
      </c>
      <c r="AO17" s="5">
        <v>0.0</v>
      </c>
      <c r="AP17" s="3" t="s">
        <v>64</v>
      </c>
      <c r="AQ17" s="3" t="s">
        <v>64</v>
      </c>
      <c r="AR17" s="3" t="s">
        <v>64</v>
      </c>
      <c r="AS17" s="3" t="s">
        <v>64</v>
      </c>
      <c r="AT17" s="3" t="s">
        <v>64</v>
      </c>
      <c r="AU17" s="3" t="s">
        <v>64</v>
      </c>
      <c r="AV17" s="3" t="s">
        <v>64</v>
      </c>
      <c r="AW17" s="6">
        <v>154159.0</v>
      </c>
      <c r="AX17" s="6">
        <v>873800.0</v>
      </c>
      <c r="AY17" s="6">
        <v>0.0</v>
      </c>
    </row>
    <row r="18">
      <c r="A18" s="3" t="s">
        <v>148</v>
      </c>
      <c r="B18" s="3" t="s">
        <v>58</v>
      </c>
      <c r="C18" s="3" t="s">
        <v>149</v>
      </c>
      <c r="D18" s="3" t="s">
        <v>150</v>
      </c>
      <c r="E18" s="3" t="s">
        <v>151</v>
      </c>
      <c r="F18" s="3" t="s">
        <v>152</v>
      </c>
      <c r="G18" s="3" t="s">
        <v>153</v>
      </c>
      <c r="H18" s="3" t="s">
        <v>106</v>
      </c>
      <c r="I18" s="5">
        <v>30.0</v>
      </c>
      <c r="J18" s="5">
        <v>42.0</v>
      </c>
      <c r="K18" s="5">
        <v>0.0</v>
      </c>
      <c r="L18" s="5">
        <v>1758961.0</v>
      </c>
      <c r="M18" s="5">
        <v>1758961.0</v>
      </c>
      <c r="N18" s="5">
        <v>1539846.0</v>
      </c>
      <c r="O18" s="5">
        <v>219115.0</v>
      </c>
      <c r="P18" s="5">
        <v>0.0</v>
      </c>
      <c r="Q18" s="5">
        <v>0.0</v>
      </c>
      <c r="R18" s="5">
        <v>0.0</v>
      </c>
      <c r="S18" s="3" t="s">
        <v>64</v>
      </c>
      <c r="T18" s="3" t="s">
        <v>64</v>
      </c>
      <c r="U18" s="3" t="s">
        <v>64</v>
      </c>
      <c r="V18" s="3" t="s">
        <v>64</v>
      </c>
      <c r="W18" s="3" t="s">
        <v>64</v>
      </c>
      <c r="X18" s="3" t="s">
        <v>64</v>
      </c>
      <c r="Y18" s="3" t="s">
        <v>64</v>
      </c>
      <c r="Z18" s="3" t="s">
        <v>64</v>
      </c>
      <c r="AA18" s="3" t="s">
        <v>64</v>
      </c>
      <c r="AB18" s="5">
        <v>100000.0</v>
      </c>
      <c r="AC18" s="3" t="s">
        <v>64</v>
      </c>
      <c r="AD18" s="3" t="s">
        <v>64</v>
      </c>
      <c r="AE18" s="3" t="s">
        <v>64</v>
      </c>
      <c r="AF18" s="5">
        <v>100000.0</v>
      </c>
      <c r="AG18" s="3" t="s">
        <v>64</v>
      </c>
      <c r="AH18" s="6">
        <v>1958961.0</v>
      </c>
      <c r="AI18" s="5">
        <v>186098.0</v>
      </c>
      <c r="AJ18" s="5">
        <v>0.0</v>
      </c>
      <c r="AK18" s="5">
        <v>123127.0</v>
      </c>
      <c r="AL18" s="5">
        <v>1865.0</v>
      </c>
      <c r="AM18" s="5">
        <v>10554.0</v>
      </c>
      <c r="AN18" s="5">
        <v>18802.0</v>
      </c>
      <c r="AO18" s="5">
        <v>0.0</v>
      </c>
      <c r="AP18" s="3" t="s">
        <v>64</v>
      </c>
      <c r="AQ18" s="5">
        <v>19800.0</v>
      </c>
      <c r="AR18" s="3" t="s">
        <v>64</v>
      </c>
      <c r="AS18" s="3" t="s">
        <v>64</v>
      </c>
      <c r="AT18" s="3" t="s">
        <v>64</v>
      </c>
      <c r="AU18" s="3" t="s">
        <v>64</v>
      </c>
      <c r="AV18" s="3" t="s">
        <v>64</v>
      </c>
      <c r="AW18" s="6">
        <v>360246.0</v>
      </c>
      <c r="AX18" s="6">
        <v>1598715.0</v>
      </c>
      <c r="AY18" s="6">
        <v>0.0</v>
      </c>
    </row>
    <row r="19">
      <c r="A19" s="3" t="s">
        <v>154</v>
      </c>
      <c r="B19" s="3" t="s">
        <v>58</v>
      </c>
      <c r="C19" s="3" t="s">
        <v>155</v>
      </c>
      <c r="D19" s="3" t="s">
        <v>156</v>
      </c>
      <c r="E19" s="3" t="s">
        <v>157</v>
      </c>
      <c r="F19" s="3" t="s">
        <v>158</v>
      </c>
      <c r="G19" s="3" t="s">
        <v>159</v>
      </c>
      <c r="H19" s="3" t="s">
        <v>71</v>
      </c>
      <c r="I19" s="5">
        <v>30.0</v>
      </c>
      <c r="J19" s="5">
        <v>40.0</v>
      </c>
      <c r="K19" s="5">
        <v>0.0</v>
      </c>
      <c r="L19" s="5">
        <v>2018709.0</v>
      </c>
      <c r="M19" s="5">
        <v>2018709.0</v>
      </c>
      <c r="N19" s="5">
        <v>1484039.0</v>
      </c>
      <c r="O19" s="5">
        <v>219115.0</v>
      </c>
      <c r="P19" s="5">
        <v>0.0</v>
      </c>
      <c r="Q19" s="5">
        <v>0.0</v>
      </c>
      <c r="R19" s="5">
        <v>0.0</v>
      </c>
      <c r="S19" s="3" t="s">
        <v>64</v>
      </c>
      <c r="T19" s="3" t="s">
        <v>64</v>
      </c>
      <c r="U19" s="3" t="s">
        <v>64</v>
      </c>
      <c r="V19" s="3" t="s">
        <v>64</v>
      </c>
      <c r="W19" s="3" t="s">
        <v>64</v>
      </c>
      <c r="X19" s="3" t="s">
        <v>64</v>
      </c>
      <c r="Y19" s="3" t="s">
        <v>64</v>
      </c>
      <c r="Z19" s="3" t="s">
        <v>64</v>
      </c>
      <c r="AA19" s="3" t="s">
        <v>64</v>
      </c>
      <c r="AB19" s="5">
        <v>100000.0</v>
      </c>
      <c r="AC19" s="3" t="s">
        <v>64</v>
      </c>
      <c r="AD19" s="3" t="s">
        <v>64</v>
      </c>
      <c r="AE19" s="5">
        <v>315555.0</v>
      </c>
      <c r="AF19" s="5">
        <v>100000.0</v>
      </c>
      <c r="AG19" s="3" t="s">
        <v>64</v>
      </c>
      <c r="AH19" s="6">
        <v>2218709.0</v>
      </c>
      <c r="AI19" s="5">
        <v>213579.0</v>
      </c>
      <c r="AJ19" s="5">
        <v>0.0</v>
      </c>
      <c r="AK19" s="5">
        <v>141310.0</v>
      </c>
      <c r="AL19" s="5">
        <v>0.0</v>
      </c>
      <c r="AM19" s="5">
        <v>12112.0</v>
      </c>
      <c r="AN19" s="5">
        <v>27378.0</v>
      </c>
      <c r="AO19" s="5">
        <v>0.0</v>
      </c>
      <c r="AP19" s="3" t="s">
        <v>64</v>
      </c>
      <c r="AQ19" s="3" t="s">
        <v>64</v>
      </c>
      <c r="AR19" s="3" t="s">
        <v>64</v>
      </c>
      <c r="AS19" s="3" t="s">
        <v>64</v>
      </c>
      <c r="AT19" s="3" t="s">
        <v>64</v>
      </c>
      <c r="AU19" s="3" t="s">
        <v>64</v>
      </c>
      <c r="AV19" s="3" t="s">
        <v>64</v>
      </c>
      <c r="AW19" s="6">
        <v>394379.0</v>
      </c>
      <c r="AX19" s="6">
        <v>1824330.0</v>
      </c>
      <c r="AY19" s="6">
        <v>0.0</v>
      </c>
    </row>
    <row r="20">
      <c r="A20" s="3" t="s">
        <v>160</v>
      </c>
      <c r="B20" s="3" t="s">
        <v>58</v>
      </c>
      <c r="C20" s="3" t="s">
        <v>161</v>
      </c>
      <c r="D20" s="3" t="s">
        <v>84</v>
      </c>
      <c r="E20" s="3" t="s">
        <v>162</v>
      </c>
      <c r="F20" s="3" t="s">
        <v>163</v>
      </c>
      <c r="G20" s="3" t="s">
        <v>104</v>
      </c>
      <c r="H20" s="3" t="s">
        <v>106</v>
      </c>
      <c r="I20" s="5">
        <v>30.0</v>
      </c>
      <c r="J20" s="5">
        <v>42.0</v>
      </c>
      <c r="K20" s="5">
        <v>0.0</v>
      </c>
      <c r="L20" s="5">
        <v>2071498.0</v>
      </c>
      <c r="M20" s="5">
        <v>2071498.0</v>
      </c>
      <c r="N20" s="5">
        <v>1852383.0</v>
      </c>
      <c r="O20" s="5">
        <v>219115.0</v>
      </c>
      <c r="P20" s="5">
        <v>0.0</v>
      </c>
      <c r="Q20" s="5">
        <v>0.0</v>
      </c>
      <c r="R20" s="5">
        <v>0.0</v>
      </c>
      <c r="S20" s="3" t="s">
        <v>64</v>
      </c>
      <c r="T20" s="3" t="s">
        <v>64</v>
      </c>
      <c r="U20" s="3" t="s">
        <v>64</v>
      </c>
      <c r="V20" s="3" t="s">
        <v>64</v>
      </c>
      <c r="W20" s="3" t="s">
        <v>64</v>
      </c>
      <c r="X20" s="3" t="s">
        <v>64</v>
      </c>
      <c r="Y20" s="3" t="s">
        <v>64</v>
      </c>
      <c r="Z20" s="3" t="s">
        <v>64</v>
      </c>
      <c r="AA20" s="3" t="s">
        <v>64</v>
      </c>
      <c r="AB20" s="5">
        <v>80000.0</v>
      </c>
      <c r="AC20" s="3" t="s">
        <v>64</v>
      </c>
      <c r="AD20" s="3" t="s">
        <v>64</v>
      </c>
      <c r="AE20" s="3" t="s">
        <v>64</v>
      </c>
      <c r="AF20" s="5">
        <v>80000.0</v>
      </c>
      <c r="AG20" s="3" t="s">
        <v>64</v>
      </c>
      <c r="AH20" s="6">
        <v>2231498.0</v>
      </c>
      <c r="AI20" s="5">
        <v>233458.0</v>
      </c>
      <c r="AJ20" s="5">
        <v>0.0</v>
      </c>
      <c r="AK20" s="5">
        <v>145005.0</v>
      </c>
      <c r="AL20" s="5">
        <v>42933.0</v>
      </c>
      <c r="AM20" s="5">
        <v>12429.0</v>
      </c>
      <c r="AN20" s="5">
        <v>26816.0</v>
      </c>
      <c r="AO20" s="5">
        <v>0.0</v>
      </c>
      <c r="AP20" s="3" t="s">
        <v>64</v>
      </c>
      <c r="AQ20" s="3" t="s">
        <v>64</v>
      </c>
      <c r="AR20" s="3" t="s">
        <v>64</v>
      </c>
      <c r="AS20" s="3" t="s">
        <v>64</v>
      </c>
      <c r="AT20" s="3" t="s">
        <v>64</v>
      </c>
      <c r="AU20" s="3" t="s">
        <v>64</v>
      </c>
      <c r="AV20" s="3" t="s">
        <v>64</v>
      </c>
      <c r="AW20" s="6">
        <v>460641.0</v>
      </c>
      <c r="AX20" s="6">
        <v>1770857.0</v>
      </c>
      <c r="AY20" s="6">
        <v>0.0</v>
      </c>
    </row>
    <row r="21">
      <c r="A21" s="3" t="s">
        <v>164</v>
      </c>
      <c r="B21" s="3" t="s">
        <v>58</v>
      </c>
      <c r="C21" s="3" t="s">
        <v>165</v>
      </c>
      <c r="D21" s="3" t="s">
        <v>166</v>
      </c>
      <c r="E21" s="3" t="s">
        <v>167</v>
      </c>
      <c r="F21" s="3" t="s">
        <v>168</v>
      </c>
      <c r="G21" s="3" t="s">
        <v>131</v>
      </c>
      <c r="H21" s="3" t="s">
        <v>71</v>
      </c>
      <c r="I21" s="5">
        <v>30.0</v>
      </c>
      <c r="J21" s="5">
        <v>42.0</v>
      </c>
      <c r="K21" s="5">
        <v>0.0</v>
      </c>
      <c r="L21" s="5">
        <v>2279115.0</v>
      </c>
      <c r="M21" s="5">
        <v>2279115.0</v>
      </c>
      <c r="N21" s="5">
        <v>2060000.0</v>
      </c>
      <c r="O21" s="5">
        <v>219115.0</v>
      </c>
      <c r="P21" s="5">
        <v>0.0</v>
      </c>
      <c r="Q21" s="5">
        <v>0.0</v>
      </c>
      <c r="R21" s="5">
        <v>0.0</v>
      </c>
      <c r="S21" s="3" t="s">
        <v>64</v>
      </c>
      <c r="T21" s="3" t="s">
        <v>64</v>
      </c>
      <c r="U21" s="3" t="s">
        <v>64</v>
      </c>
      <c r="V21" s="3" t="s">
        <v>64</v>
      </c>
      <c r="W21" s="3" t="s">
        <v>64</v>
      </c>
      <c r="X21" s="3" t="s">
        <v>64</v>
      </c>
      <c r="Y21" s="3" t="s">
        <v>64</v>
      </c>
      <c r="Z21" s="3" t="s">
        <v>64</v>
      </c>
      <c r="AA21" s="3" t="s">
        <v>64</v>
      </c>
      <c r="AB21" s="5">
        <v>100000.0</v>
      </c>
      <c r="AC21" s="3" t="s">
        <v>64</v>
      </c>
      <c r="AD21" s="3" t="s">
        <v>64</v>
      </c>
      <c r="AE21" s="3" t="s">
        <v>64</v>
      </c>
      <c r="AF21" s="5">
        <v>100000.0</v>
      </c>
      <c r="AG21" s="3" t="s">
        <v>64</v>
      </c>
      <c r="AH21" s="6">
        <v>2479115.0</v>
      </c>
      <c r="AI21" s="5">
        <v>238395.0</v>
      </c>
      <c r="AJ21" s="5">
        <v>0.0</v>
      </c>
      <c r="AK21" s="5">
        <v>159538.0</v>
      </c>
      <c r="AL21" s="5">
        <v>89138.0</v>
      </c>
      <c r="AM21" s="5">
        <v>13675.0</v>
      </c>
      <c r="AN21" s="5">
        <v>32444.0</v>
      </c>
      <c r="AO21" s="5">
        <v>0.0</v>
      </c>
      <c r="AP21" s="5">
        <v>100000.0</v>
      </c>
      <c r="AQ21" s="3" t="s">
        <v>64</v>
      </c>
      <c r="AR21" s="3" t="s">
        <v>64</v>
      </c>
      <c r="AS21" s="3" t="s">
        <v>64</v>
      </c>
      <c r="AT21" s="3" t="s">
        <v>64</v>
      </c>
      <c r="AU21" s="3" t="s">
        <v>64</v>
      </c>
      <c r="AV21" s="3" t="s">
        <v>64</v>
      </c>
      <c r="AW21" s="6">
        <v>633190.0</v>
      </c>
      <c r="AX21" s="6">
        <v>1845925.0</v>
      </c>
      <c r="AY21" s="6">
        <v>0.0</v>
      </c>
    </row>
    <row r="22">
      <c r="A22" s="3" t="s">
        <v>169</v>
      </c>
      <c r="B22" s="3" t="s">
        <v>58</v>
      </c>
      <c r="C22" s="3" t="s">
        <v>170</v>
      </c>
      <c r="D22" s="3" t="s">
        <v>122</v>
      </c>
      <c r="E22" s="3" t="s">
        <v>171</v>
      </c>
      <c r="F22" s="3" t="s">
        <v>172</v>
      </c>
      <c r="G22" s="3" t="s">
        <v>173</v>
      </c>
      <c r="H22" s="3" t="s">
        <v>71</v>
      </c>
      <c r="I22" s="5">
        <v>30.0</v>
      </c>
      <c r="J22" s="5">
        <v>37.0</v>
      </c>
      <c r="K22" s="5">
        <v>0.0</v>
      </c>
      <c r="L22" s="5">
        <v>2816897.0</v>
      </c>
      <c r="M22" s="5">
        <v>2816897.0</v>
      </c>
      <c r="N22" s="5">
        <v>2597782.0</v>
      </c>
      <c r="O22" s="5">
        <v>219115.0</v>
      </c>
      <c r="P22" s="5">
        <v>0.0</v>
      </c>
      <c r="Q22" s="5">
        <v>0.0</v>
      </c>
      <c r="R22" s="5">
        <v>0.0</v>
      </c>
      <c r="S22" s="3" t="s">
        <v>64</v>
      </c>
      <c r="T22" s="3" t="s">
        <v>64</v>
      </c>
      <c r="U22" s="3" t="s">
        <v>64</v>
      </c>
      <c r="V22" s="3" t="s">
        <v>64</v>
      </c>
      <c r="W22" s="3" t="s">
        <v>64</v>
      </c>
      <c r="X22" s="3" t="s">
        <v>64</v>
      </c>
      <c r="Y22" s="3" t="s">
        <v>64</v>
      </c>
      <c r="Z22" s="3" t="s">
        <v>64</v>
      </c>
      <c r="AA22" s="3" t="s">
        <v>64</v>
      </c>
      <c r="AB22" s="5">
        <v>280000.0</v>
      </c>
      <c r="AC22" s="3" t="s">
        <v>64</v>
      </c>
      <c r="AD22" s="3" t="s">
        <v>64</v>
      </c>
      <c r="AE22" s="3" t="s">
        <v>64</v>
      </c>
      <c r="AF22" s="5">
        <v>280000.0</v>
      </c>
      <c r="AG22" s="3" t="s">
        <v>64</v>
      </c>
      <c r="AH22" s="6">
        <v>3376897.0</v>
      </c>
      <c r="AI22" s="5">
        <v>314366.0</v>
      </c>
      <c r="AJ22" s="5">
        <v>0.0</v>
      </c>
      <c r="AK22" s="5">
        <v>197183.0</v>
      </c>
      <c r="AL22" s="5">
        <v>37473.0</v>
      </c>
      <c r="AM22" s="5">
        <v>16901.0</v>
      </c>
      <c r="AN22" s="5">
        <v>55409.0</v>
      </c>
      <c r="AO22" s="5">
        <v>0.0</v>
      </c>
      <c r="AP22" s="3" t="s">
        <v>64</v>
      </c>
      <c r="AQ22" s="3" t="s">
        <v>64</v>
      </c>
      <c r="AR22" s="3" t="s">
        <v>64</v>
      </c>
      <c r="AS22" s="3" t="s">
        <v>64</v>
      </c>
      <c r="AT22" s="3" t="s">
        <v>64</v>
      </c>
      <c r="AU22" s="3" t="s">
        <v>64</v>
      </c>
      <c r="AV22" s="3" t="s">
        <v>64</v>
      </c>
      <c r="AW22" s="6">
        <v>621332.0</v>
      </c>
      <c r="AX22" s="6">
        <v>2755565.0</v>
      </c>
      <c r="AY22" s="6">
        <v>0.0</v>
      </c>
    </row>
    <row r="23">
      <c r="A23" s="3" t="s">
        <v>174</v>
      </c>
      <c r="B23" s="3" t="s">
        <v>58</v>
      </c>
      <c r="C23" s="3" t="s">
        <v>139</v>
      </c>
      <c r="D23" s="3" t="s">
        <v>175</v>
      </c>
      <c r="E23" s="3" t="s">
        <v>176</v>
      </c>
      <c r="F23" s="3" t="s">
        <v>177</v>
      </c>
      <c r="G23" s="3" t="s">
        <v>178</v>
      </c>
      <c r="H23" s="3" t="s">
        <v>71</v>
      </c>
      <c r="I23" s="5">
        <v>22.0</v>
      </c>
      <c r="J23" s="5">
        <v>42.0</v>
      </c>
      <c r="K23" s="5">
        <v>0.0</v>
      </c>
      <c r="L23" s="5">
        <v>3581244.0</v>
      </c>
      <c r="M23" s="5">
        <v>3581244.0</v>
      </c>
      <c r="N23" s="5">
        <v>3362129.0</v>
      </c>
      <c r="O23" s="5">
        <v>219115.0</v>
      </c>
      <c r="P23" s="5">
        <v>0.0</v>
      </c>
      <c r="Q23" s="5">
        <v>0.0</v>
      </c>
      <c r="R23" s="5">
        <v>0.0</v>
      </c>
      <c r="S23" s="3" t="s">
        <v>64</v>
      </c>
      <c r="T23" s="3" t="s">
        <v>64</v>
      </c>
      <c r="U23" s="3" t="s">
        <v>64</v>
      </c>
      <c r="V23" s="3" t="s">
        <v>64</v>
      </c>
      <c r="W23" s="3" t="s">
        <v>64</v>
      </c>
      <c r="X23" s="3" t="s">
        <v>64</v>
      </c>
      <c r="Y23" s="3" t="s">
        <v>64</v>
      </c>
      <c r="Z23" s="3" t="s">
        <v>64</v>
      </c>
      <c r="AA23" s="3" t="s">
        <v>64</v>
      </c>
      <c r="AB23" s="3" t="s">
        <v>64</v>
      </c>
      <c r="AC23" s="3" t="s">
        <v>64</v>
      </c>
      <c r="AD23" s="3" t="s">
        <v>64</v>
      </c>
      <c r="AE23" s="3" t="s">
        <v>64</v>
      </c>
      <c r="AF23" s="3" t="s">
        <v>64</v>
      </c>
      <c r="AG23" s="3" t="s">
        <v>64</v>
      </c>
      <c r="AH23" s="6">
        <v>3581244.0</v>
      </c>
      <c r="AI23" s="5">
        <v>409694.0</v>
      </c>
      <c r="AJ23" s="5">
        <v>0.0</v>
      </c>
      <c r="AK23" s="5">
        <v>250687.0</v>
      </c>
      <c r="AL23" s="5">
        <v>0.0</v>
      </c>
      <c r="AM23" s="5">
        <v>21487.0</v>
      </c>
      <c r="AN23" s="5">
        <v>107281.0</v>
      </c>
      <c r="AO23" s="5">
        <v>0.0</v>
      </c>
      <c r="AP23" s="3" t="s">
        <v>64</v>
      </c>
      <c r="AQ23" s="3" t="s">
        <v>64</v>
      </c>
      <c r="AR23" s="3" t="s">
        <v>64</v>
      </c>
      <c r="AS23" s="3" t="s">
        <v>64</v>
      </c>
      <c r="AT23" s="3" t="s">
        <v>64</v>
      </c>
      <c r="AU23" s="3" t="s">
        <v>64</v>
      </c>
      <c r="AV23" s="3" t="s">
        <v>64</v>
      </c>
      <c r="AW23" s="6">
        <v>789149.0</v>
      </c>
      <c r="AX23" s="6">
        <v>2792095.0</v>
      </c>
      <c r="AY23" s="6">
        <v>0.0</v>
      </c>
    </row>
    <row r="24">
      <c r="A24" s="3" t="s">
        <v>179</v>
      </c>
      <c r="B24" s="3" t="s">
        <v>58</v>
      </c>
      <c r="C24" s="3" t="s">
        <v>180</v>
      </c>
      <c r="D24" s="3" t="s">
        <v>74</v>
      </c>
      <c r="E24" s="3" t="s">
        <v>181</v>
      </c>
      <c r="F24" s="3" t="s">
        <v>182</v>
      </c>
      <c r="G24" s="3" t="s">
        <v>178</v>
      </c>
      <c r="H24" s="3" t="s">
        <v>71</v>
      </c>
      <c r="I24" s="5">
        <v>30.0</v>
      </c>
      <c r="J24" s="5">
        <v>42.0</v>
      </c>
      <c r="K24" s="5">
        <v>0.0</v>
      </c>
      <c r="L24" s="5">
        <v>3678639.0</v>
      </c>
      <c r="M24" s="5">
        <v>5273749.0</v>
      </c>
      <c r="N24" s="5">
        <v>4958453.0</v>
      </c>
      <c r="O24" s="5">
        <v>219115.0</v>
      </c>
      <c r="P24" s="5">
        <v>0.0</v>
      </c>
      <c r="Q24" s="5">
        <v>0.0</v>
      </c>
      <c r="R24" s="5">
        <v>0.0</v>
      </c>
      <c r="S24" s="3" t="s">
        <v>64</v>
      </c>
      <c r="T24" s="3" t="s">
        <v>64</v>
      </c>
      <c r="U24" s="3" t="s">
        <v>64</v>
      </c>
      <c r="V24" s="3" t="s">
        <v>64</v>
      </c>
      <c r="W24" s="3" t="s">
        <v>64</v>
      </c>
      <c r="X24" s="3" t="s">
        <v>64</v>
      </c>
      <c r="Y24" s="3" t="s">
        <v>64</v>
      </c>
      <c r="Z24" s="3" t="s">
        <v>64</v>
      </c>
      <c r="AA24" s="3" t="s">
        <v>64</v>
      </c>
      <c r="AB24" s="3" t="s">
        <v>64</v>
      </c>
      <c r="AC24" s="3" t="s">
        <v>64</v>
      </c>
      <c r="AD24" s="5">
        <v>96181.0</v>
      </c>
      <c r="AE24" s="3" t="s">
        <v>64</v>
      </c>
      <c r="AF24" s="3" t="s">
        <v>64</v>
      </c>
      <c r="AG24" s="3" t="s">
        <v>64</v>
      </c>
      <c r="AH24" s="6">
        <v>5273749.0</v>
      </c>
      <c r="AI24" s="5">
        <v>420836.0</v>
      </c>
      <c r="AJ24" s="5">
        <v>0.0</v>
      </c>
      <c r="AK24" s="5">
        <v>257505.0</v>
      </c>
      <c r="AL24" s="5">
        <v>74063.0</v>
      </c>
      <c r="AM24" s="5">
        <v>0.0</v>
      </c>
      <c r="AN24" s="5">
        <v>298676.0</v>
      </c>
      <c r="AO24" s="5">
        <v>0.0</v>
      </c>
      <c r="AP24" s="3" t="s">
        <v>64</v>
      </c>
      <c r="AQ24" s="3" t="s">
        <v>64</v>
      </c>
      <c r="AR24" s="3" t="s">
        <v>64</v>
      </c>
      <c r="AS24" s="3" t="s">
        <v>64</v>
      </c>
      <c r="AT24" s="3" t="s">
        <v>64</v>
      </c>
      <c r="AU24" s="3" t="s">
        <v>64</v>
      </c>
      <c r="AV24" s="3" t="s">
        <v>64</v>
      </c>
      <c r="AW24" s="6">
        <v>1051080.0</v>
      </c>
      <c r="AX24" s="6">
        <v>4222669.0</v>
      </c>
      <c r="AY24" s="6">
        <v>0.0</v>
      </c>
    </row>
    <row r="25">
      <c r="A25" s="3" t="s">
        <v>183</v>
      </c>
      <c r="B25" s="3" t="s">
        <v>58</v>
      </c>
      <c r="C25" s="3" t="s">
        <v>166</v>
      </c>
      <c r="D25" s="3" t="s">
        <v>184</v>
      </c>
      <c r="E25" s="3" t="s">
        <v>185</v>
      </c>
      <c r="F25" s="3" t="s">
        <v>186</v>
      </c>
      <c r="G25" s="3" t="s">
        <v>159</v>
      </c>
      <c r="H25" s="3" t="s">
        <v>71</v>
      </c>
      <c r="I25" s="5">
        <v>30.0</v>
      </c>
      <c r="J25" s="5">
        <v>40.0</v>
      </c>
      <c r="K25" s="5">
        <v>0.0</v>
      </c>
      <c r="L25" s="5">
        <v>3678639.0</v>
      </c>
      <c r="M25" s="5">
        <v>3696162.0</v>
      </c>
      <c r="N25" s="5">
        <v>3003714.0</v>
      </c>
      <c r="O25" s="5">
        <v>219115.0</v>
      </c>
      <c r="P25" s="5">
        <v>0.0</v>
      </c>
      <c r="Q25" s="5">
        <v>0.0</v>
      </c>
      <c r="R25" s="5">
        <v>0.0</v>
      </c>
      <c r="S25" s="3" t="s">
        <v>64</v>
      </c>
      <c r="T25" s="3" t="s">
        <v>64</v>
      </c>
      <c r="U25" s="3" t="s">
        <v>64</v>
      </c>
      <c r="V25" s="3" t="s">
        <v>64</v>
      </c>
      <c r="W25" s="3" t="s">
        <v>64</v>
      </c>
      <c r="X25" s="3" t="s">
        <v>64</v>
      </c>
      <c r="Y25" s="3" t="s">
        <v>64</v>
      </c>
      <c r="Z25" s="3" t="s">
        <v>64</v>
      </c>
      <c r="AA25" s="3" t="s">
        <v>64</v>
      </c>
      <c r="AB25" s="5">
        <v>100000.0</v>
      </c>
      <c r="AC25" s="3" t="s">
        <v>64</v>
      </c>
      <c r="AD25" s="3" t="s">
        <v>64</v>
      </c>
      <c r="AE25" s="5">
        <v>473333.0</v>
      </c>
      <c r="AF25" s="5">
        <v>100000.0</v>
      </c>
      <c r="AG25" s="3" t="s">
        <v>64</v>
      </c>
      <c r="AH25" s="6">
        <v>3896162.0</v>
      </c>
      <c r="AI25" s="5">
        <v>414583.0</v>
      </c>
      <c r="AJ25" s="5">
        <v>0.0</v>
      </c>
      <c r="AK25" s="5">
        <v>257505.0</v>
      </c>
      <c r="AL25" s="5">
        <v>0.0</v>
      </c>
      <c r="AM25" s="5">
        <v>22177.0</v>
      </c>
      <c r="AN25" s="5">
        <v>115482.0</v>
      </c>
      <c r="AO25" s="5">
        <v>0.0</v>
      </c>
      <c r="AP25" s="3" t="s">
        <v>64</v>
      </c>
      <c r="AQ25" s="5">
        <v>19800.0</v>
      </c>
      <c r="AR25" s="3" t="s">
        <v>64</v>
      </c>
      <c r="AS25" s="3" t="s">
        <v>64</v>
      </c>
      <c r="AT25" s="3" t="s">
        <v>64</v>
      </c>
      <c r="AU25" s="3" t="s">
        <v>64</v>
      </c>
      <c r="AV25" s="3" t="s">
        <v>64</v>
      </c>
      <c r="AW25" s="6">
        <v>829547.0</v>
      </c>
      <c r="AX25" s="6">
        <v>3066615.0</v>
      </c>
      <c r="AY25" s="6">
        <v>0.0</v>
      </c>
    </row>
    <row r="26">
      <c r="A26" s="3" t="s">
        <v>187</v>
      </c>
      <c r="B26" s="3" t="s">
        <v>58</v>
      </c>
      <c r="C26" s="3" t="s">
        <v>166</v>
      </c>
      <c r="D26" s="3" t="s">
        <v>188</v>
      </c>
      <c r="E26" s="3" t="s">
        <v>189</v>
      </c>
      <c r="F26" s="3" t="s">
        <v>190</v>
      </c>
      <c r="G26" s="3" t="s">
        <v>173</v>
      </c>
      <c r="H26" s="3" t="s">
        <v>71</v>
      </c>
      <c r="I26" s="5">
        <v>30.0</v>
      </c>
      <c r="J26" s="5">
        <v>37.0</v>
      </c>
      <c r="K26" s="5">
        <v>0.0</v>
      </c>
      <c r="L26" s="5">
        <v>2399470.0</v>
      </c>
      <c r="M26" s="5">
        <v>2399470.0</v>
      </c>
      <c r="N26" s="5">
        <v>2180355.0</v>
      </c>
      <c r="O26" s="5">
        <v>219115.0</v>
      </c>
      <c r="P26" s="5">
        <v>0.0</v>
      </c>
      <c r="Q26" s="5">
        <v>0.0</v>
      </c>
      <c r="R26" s="5">
        <v>0.0</v>
      </c>
      <c r="S26" s="3" t="s">
        <v>64</v>
      </c>
      <c r="T26" s="3" t="s">
        <v>64</v>
      </c>
      <c r="U26" s="3" t="s">
        <v>64</v>
      </c>
      <c r="V26" s="3" t="s">
        <v>64</v>
      </c>
      <c r="W26" s="3" t="s">
        <v>64</v>
      </c>
      <c r="X26" s="3" t="s">
        <v>64</v>
      </c>
      <c r="Y26" s="3" t="s">
        <v>64</v>
      </c>
      <c r="Z26" s="3" t="s">
        <v>64</v>
      </c>
      <c r="AA26" s="3" t="s">
        <v>64</v>
      </c>
      <c r="AB26" s="5">
        <v>250000.0</v>
      </c>
      <c r="AC26" s="3" t="s">
        <v>64</v>
      </c>
      <c r="AD26" s="3" t="s">
        <v>64</v>
      </c>
      <c r="AE26" s="3" t="s">
        <v>64</v>
      </c>
      <c r="AF26" s="5">
        <v>250000.0</v>
      </c>
      <c r="AG26" s="3" t="s">
        <v>64</v>
      </c>
      <c r="AH26" s="6">
        <v>2899470.0</v>
      </c>
      <c r="AI26" s="5">
        <v>250985.0</v>
      </c>
      <c r="AJ26" s="5">
        <v>0.0</v>
      </c>
      <c r="AK26" s="5">
        <v>167963.0</v>
      </c>
      <c r="AL26" s="5">
        <v>0.0</v>
      </c>
      <c r="AM26" s="5">
        <v>14397.0</v>
      </c>
      <c r="AN26" s="5">
        <v>39955.0</v>
      </c>
      <c r="AO26" s="5">
        <v>0.0</v>
      </c>
      <c r="AP26" s="3" t="s">
        <v>64</v>
      </c>
      <c r="AQ26" s="3" t="s">
        <v>64</v>
      </c>
      <c r="AR26" s="3" t="s">
        <v>64</v>
      </c>
      <c r="AS26" s="3" t="s">
        <v>64</v>
      </c>
      <c r="AT26" s="3" t="s">
        <v>64</v>
      </c>
      <c r="AU26" s="3" t="s">
        <v>64</v>
      </c>
      <c r="AV26" s="3" t="s">
        <v>64</v>
      </c>
      <c r="AW26" s="6">
        <v>473300.0</v>
      </c>
      <c r="AX26" s="6">
        <v>2426170.0</v>
      </c>
      <c r="AY26" s="6">
        <v>0.0</v>
      </c>
    </row>
    <row r="27">
      <c r="A27" s="3" t="s">
        <v>191</v>
      </c>
      <c r="B27" s="3" t="s">
        <v>58</v>
      </c>
      <c r="C27" s="3" t="s">
        <v>192</v>
      </c>
      <c r="D27" s="3" t="s">
        <v>193</v>
      </c>
      <c r="E27" s="3" t="s">
        <v>194</v>
      </c>
      <c r="F27" s="3" t="s">
        <v>136</v>
      </c>
      <c r="G27" s="3" t="s">
        <v>125</v>
      </c>
      <c r="H27" s="3" t="s">
        <v>71</v>
      </c>
      <c r="I27" s="5">
        <v>30.0</v>
      </c>
      <c r="J27" s="5">
        <v>42.0</v>
      </c>
      <c r="K27" s="5">
        <v>0.0</v>
      </c>
      <c r="L27" s="5">
        <v>1356403.0</v>
      </c>
      <c r="M27" s="5">
        <v>1356403.0</v>
      </c>
      <c r="N27" s="5">
        <v>1137288.0</v>
      </c>
      <c r="O27" s="5">
        <v>219115.0</v>
      </c>
      <c r="P27" s="5">
        <v>0.0</v>
      </c>
      <c r="Q27" s="5">
        <v>0.0</v>
      </c>
      <c r="R27" s="5">
        <v>0.0</v>
      </c>
      <c r="S27" s="3" t="s">
        <v>64</v>
      </c>
      <c r="T27" s="3" t="s">
        <v>64</v>
      </c>
      <c r="U27" s="3" t="s">
        <v>64</v>
      </c>
      <c r="V27" s="3" t="s">
        <v>64</v>
      </c>
      <c r="W27" s="3" t="s">
        <v>64</v>
      </c>
      <c r="X27" s="3" t="s">
        <v>64</v>
      </c>
      <c r="Y27" s="3" t="s">
        <v>64</v>
      </c>
      <c r="Z27" s="3" t="s">
        <v>64</v>
      </c>
      <c r="AA27" s="3" t="s">
        <v>64</v>
      </c>
      <c r="AB27" s="3" t="s">
        <v>64</v>
      </c>
      <c r="AC27" s="3" t="s">
        <v>64</v>
      </c>
      <c r="AD27" s="3" t="s">
        <v>64</v>
      </c>
      <c r="AE27" s="3" t="s">
        <v>64</v>
      </c>
      <c r="AF27" s="3" t="s">
        <v>64</v>
      </c>
      <c r="AG27" s="3" t="s">
        <v>64</v>
      </c>
      <c r="AH27" s="6">
        <v>1356403.0</v>
      </c>
      <c r="AI27" s="5">
        <v>143507.0</v>
      </c>
      <c r="AJ27" s="5">
        <v>0.0</v>
      </c>
      <c r="AK27" s="5">
        <v>94948.0</v>
      </c>
      <c r="AL27" s="5">
        <v>0.0</v>
      </c>
      <c r="AM27" s="5">
        <v>8138.0</v>
      </c>
      <c r="AN27" s="5">
        <v>5702.0</v>
      </c>
      <c r="AO27" s="5">
        <v>0.0</v>
      </c>
      <c r="AP27" s="3" t="s">
        <v>64</v>
      </c>
      <c r="AQ27" s="3" t="s">
        <v>64</v>
      </c>
      <c r="AR27" s="3" t="s">
        <v>64</v>
      </c>
      <c r="AS27" s="3" t="s">
        <v>64</v>
      </c>
      <c r="AT27" s="3" t="s">
        <v>64</v>
      </c>
      <c r="AU27" s="3" t="s">
        <v>64</v>
      </c>
      <c r="AV27" s="3" t="s">
        <v>64</v>
      </c>
      <c r="AW27" s="6">
        <v>252295.0</v>
      </c>
      <c r="AX27" s="6">
        <v>1104108.0</v>
      </c>
      <c r="AY27" s="6">
        <v>0.0</v>
      </c>
    </row>
    <row r="28">
      <c r="A28" s="3" t="s">
        <v>195</v>
      </c>
      <c r="B28" s="3" t="s">
        <v>58</v>
      </c>
      <c r="C28" s="3" t="s">
        <v>196</v>
      </c>
      <c r="D28" s="3" t="s">
        <v>197</v>
      </c>
      <c r="E28" s="3" t="s">
        <v>198</v>
      </c>
      <c r="F28" s="3" t="s">
        <v>62</v>
      </c>
      <c r="G28" s="3" t="s">
        <v>63</v>
      </c>
      <c r="H28" s="3" t="s">
        <v>64</v>
      </c>
      <c r="I28" s="5">
        <v>30.0</v>
      </c>
      <c r="J28" s="5">
        <v>40.0</v>
      </c>
      <c r="K28" s="5">
        <v>0.0</v>
      </c>
      <c r="L28" s="5">
        <v>2534485.0</v>
      </c>
      <c r="M28" s="5">
        <v>2534485.0</v>
      </c>
      <c r="N28" s="5">
        <v>1684259.0</v>
      </c>
      <c r="O28" s="5">
        <v>219115.0</v>
      </c>
      <c r="P28" s="5">
        <v>0.0</v>
      </c>
      <c r="Q28" s="5">
        <v>0.0</v>
      </c>
      <c r="R28" s="5">
        <v>0.0</v>
      </c>
      <c r="S28" s="3" t="s">
        <v>64</v>
      </c>
      <c r="T28" s="3" t="s">
        <v>64</v>
      </c>
      <c r="U28" s="3" t="s">
        <v>64</v>
      </c>
      <c r="V28" s="3" t="s">
        <v>64</v>
      </c>
      <c r="W28" s="3" t="s">
        <v>64</v>
      </c>
      <c r="X28" s="3" t="s">
        <v>64</v>
      </c>
      <c r="Y28" s="5">
        <v>30000.0</v>
      </c>
      <c r="Z28" s="3" t="s">
        <v>64</v>
      </c>
      <c r="AA28" s="5">
        <v>631111.0</v>
      </c>
      <c r="AB28" s="5">
        <v>170000.0</v>
      </c>
      <c r="AC28" s="3" t="s">
        <v>64</v>
      </c>
      <c r="AD28" s="3" t="s">
        <v>64</v>
      </c>
      <c r="AE28" s="3" t="s">
        <v>64</v>
      </c>
      <c r="AF28" s="5">
        <v>170000.0</v>
      </c>
      <c r="AG28" s="3" t="s">
        <v>64</v>
      </c>
      <c r="AH28" s="6">
        <v>2904485.0</v>
      </c>
      <c r="AI28" s="5">
        <v>268149.0</v>
      </c>
      <c r="AJ28" s="5">
        <v>0.0</v>
      </c>
      <c r="AK28" s="5">
        <v>177414.0</v>
      </c>
      <c r="AL28" s="5">
        <v>0.0</v>
      </c>
      <c r="AM28" s="5">
        <v>15207.0</v>
      </c>
      <c r="AN28" s="5">
        <v>44258.0</v>
      </c>
      <c r="AO28" s="5">
        <v>0.0</v>
      </c>
      <c r="AP28" s="3" t="s">
        <v>64</v>
      </c>
      <c r="AQ28" s="3" t="s">
        <v>64</v>
      </c>
      <c r="AR28" s="3" t="s">
        <v>64</v>
      </c>
      <c r="AS28" s="3" t="s">
        <v>64</v>
      </c>
      <c r="AT28" s="3" t="s">
        <v>64</v>
      </c>
      <c r="AU28" s="3" t="s">
        <v>64</v>
      </c>
      <c r="AV28" s="3" t="s">
        <v>64</v>
      </c>
      <c r="AW28" s="6">
        <v>505028.0</v>
      </c>
      <c r="AX28" s="6">
        <v>2399457.0</v>
      </c>
      <c r="AY28" s="6">
        <v>0.0</v>
      </c>
    </row>
    <row r="29">
      <c r="A29" s="3" t="s">
        <v>199</v>
      </c>
      <c r="B29" s="3" t="s">
        <v>58</v>
      </c>
      <c r="C29" s="3" t="s">
        <v>122</v>
      </c>
      <c r="D29" s="3" t="s">
        <v>200</v>
      </c>
      <c r="E29" s="3" t="s">
        <v>201</v>
      </c>
      <c r="F29" s="3" t="s">
        <v>202</v>
      </c>
      <c r="G29" s="3" t="s">
        <v>104</v>
      </c>
      <c r="H29" s="3" t="s">
        <v>106</v>
      </c>
      <c r="I29" s="5">
        <v>30.0</v>
      </c>
      <c r="J29" s="5">
        <v>44.0</v>
      </c>
      <c r="K29" s="5">
        <v>0.0</v>
      </c>
      <c r="L29" s="5">
        <v>3678639.0</v>
      </c>
      <c r="M29" s="5">
        <v>3953939.0</v>
      </c>
      <c r="N29" s="5">
        <v>3734824.0</v>
      </c>
      <c r="O29" s="5">
        <v>219115.0</v>
      </c>
      <c r="P29" s="5">
        <v>0.0</v>
      </c>
      <c r="Q29" s="5">
        <v>0.0</v>
      </c>
      <c r="R29" s="5">
        <v>0.0</v>
      </c>
      <c r="S29" s="3" t="s">
        <v>64</v>
      </c>
      <c r="T29" s="5">
        <v>600000.0</v>
      </c>
      <c r="U29" s="3" t="s">
        <v>64</v>
      </c>
      <c r="V29" s="3" t="s">
        <v>64</v>
      </c>
      <c r="W29" s="3" t="s">
        <v>64</v>
      </c>
      <c r="X29" s="3" t="s">
        <v>64</v>
      </c>
      <c r="Y29" s="3" t="s">
        <v>64</v>
      </c>
      <c r="Z29" s="3" t="s">
        <v>64</v>
      </c>
      <c r="AA29" s="3" t="s">
        <v>64</v>
      </c>
      <c r="AB29" s="5">
        <v>200000.0</v>
      </c>
      <c r="AC29" s="3" t="s">
        <v>64</v>
      </c>
      <c r="AD29" s="3" t="s">
        <v>64</v>
      </c>
      <c r="AE29" s="3" t="s">
        <v>64</v>
      </c>
      <c r="AF29" s="5">
        <v>200000.0</v>
      </c>
      <c r="AG29" s="3" t="s">
        <v>64</v>
      </c>
      <c r="AH29" s="6">
        <v>4953939.0</v>
      </c>
      <c r="AI29" s="5">
        <v>420836.0</v>
      </c>
      <c r="AJ29" s="5">
        <v>0.0</v>
      </c>
      <c r="AK29" s="5">
        <v>257505.0</v>
      </c>
      <c r="AL29" s="5">
        <v>129079.0</v>
      </c>
      <c r="AM29" s="5">
        <v>23724.0</v>
      </c>
      <c r="AN29" s="5">
        <v>135481.0</v>
      </c>
      <c r="AO29" s="5">
        <v>0.0</v>
      </c>
      <c r="AP29" s="3" t="s">
        <v>64</v>
      </c>
      <c r="AQ29" s="5">
        <v>19800.0</v>
      </c>
      <c r="AR29" s="3" t="s">
        <v>64</v>
      </c>
      <c r="AS29" s="3" t="s">
        <v>64</v>
      </c>
      <c r="AT29" s="3" t="s">
        <v>64</v>
      </c>
      <c r="AU29" s="3" t="s">
        <v>64</v>
      </c>
      <c r="AV29" s="3" t="s">
        <v>64</v>
      </c>
      <c r="AW29" s="6">
        <v>986425.0</v>
      </c>
      <c r="AX29" s="6">
        <v>3967514.0</v>
      </c>
      <c r="AY29" s="6">
        <v>0.0</v>
      </c>
    </row>
    <row r="30">
      <c r="A30" s="3" t="s">
        <v>203</v>
      </c>
      <c r="B30" s="3" t="s">
        <v>58</v>
      </c>
      <c r="C30" s="3" t="s">
        <v>204</v>
      </c>
      <c r="D30" s="3" t="s">
        <v>205</v>
      </c>
      <c r="E30" s="3" t="s">
        <v>206</v>
      </c>
      <c r="F30" s="3" t="s">
        <v>207</v>
      </c>
      <c r="G30" s="3" t="s">
        <v>159</v>
      </c>
      <c r="H30" s="3" t="s">
        <v>71</v>
      </c>
      <c r="I30" s="5">
        <v>30.0</v>
      </c>
      <c r="J30" s="5">
        <v>40.0</v>
      </c>
      <c r="K30" s="5">
        <v>0.0</v>
      </c>
      <c r="L30" s="5">
        <v>2176352.0</v>
      </c>
      <c r="M30" s="5">
        <v>2176352.0</v>
      </c>
      <c r="N30" s="5">
        <v>1483904.0</v>
      </c>
      <c r="O30" s="5">
        <v>219115.0</v>
      </c>
      <c r="P30" s="5">
        <v>0.0</v>
      </c>
      <c r="Q30" s="5">
        <v>0.0</v>
      </c>
      <c r="R30" s="5">
        <v>0.0</v>
      </c>
      <c r="S30" s="3" t="s">
        <v>64</v>
      </c>
      <c r="T30" s="3" t="s">
        <v>64</v>
      </c>
      <c r="U30" s="3" t="s">
        <v>64</v>
      </c>
      <c r="V30" s="3" t="s">
        <v>64</v>
      </c>
      <c r="W30" s="3" t="s">
        <v>64</v>
      </c>
      <c r="X30" s="3" t="s">
        <v>64</v>
      </c>
      <c r="Y30" s="3" t="s">
        <v>64</v>
      </c>
      <c r="Z30" s="3" t="s">
        <v>64</v>
      </c>
      <c r="AA30" s="3" t="s">
        <v>64</v>
      </c>
      <c r="AB30" s="5">
        <v>100000.0</v>
      </c>
      <c r="AC30" s="3" t="s">
        <v>64</v>
      </c>
      <c r="AD30" s="3" t="s">
        <v>64</v>
      </c>
      <c r="AE30" s="5">
        <v>473333.0</v>
      </c>
      <c r="AF30" s="5">
        <v>100000.0</v>
      </c>
      <c r="AG30" s="3" t="s">
        <v>64</v>
      </c>
      <c r="AH30" s="6">
        <v>2376352.0</v>
      </c>
      <c r="AI30" s="5">
        <v>227646.0</v>
      </c>
      <c r="AJ30" s="5">
        <v>0.0</v>
      </c>
      <c r="AK30" s="5">
        <v>152345.0</v>
      </c>
      <c r="AL30" s="5">
        <v>0.0</v>
      </c>
      <c r="AM30" s="5">
        <v>13058.0</v>
      </c>
      <c r="AN30" s="5">
        <v>32642.0</v>
      </c>
      <c r="AO30" s="5">
        <v>0.0</v>
      </c>
      <c r="AP30" s="3" t="s">
        <v>64</v>
      </c>
      <c r="AQ30" s="3" t="s">
        <v>64</v>
      </c>
      <c r="AR30" s="3" t="s">
        <v>64</v>
      </c>
      <c r="AS30" s="3" t="s">
        <v>64</v>
      </c>
      <c r="AT30" s="3" t="s">
        <v>64</v>
      </c>
      <c r="AU30" s="3" t="s">
        <v>64</v>
      </c>
      <c r="AV30" s="3" t="s">
        <v>64</v>
      </c>
      <c r="AW30" s="6">
        <v>425691.0</v>
      </c>
      <c r="AX30" s="6">
        <v>1950661.0</v>
      </c>
      <c r="AY30" s="6">
        <v>0.0</v>
      </c>
    </row>
    <row r="31">
      <c r="A31" s="3" t="s">
        <v>208</v>
      </c>
      <c r="B31" s="3" t="s">
        <v>58</v>
      </c>
      <c r="C31" s="3" t="s">
        <v>209</v>
      </c>
      <c r="D31" s="3" t="s">
        <v>210</v>
      </c>
      <c r="E31" s="3" t="s">
        <v>211</v>
      </c>
      <c r="F31" s="3" t="s">
        <v>212</v>
      </c>
      <c r="G31" s="3" t="s">
        <v>213</v>
      </c>
      <c r="H31" s="3" t="s">
        <v>71</v>
      </c>
      <c r="I31" s="5">
        <v>30.0</v>
      </c>
      <c r="J31" s="5">
        <v>42.0</v>
      </c>
      <c r="K31" s="5">
        <v>0.0</v>
      </c>
      <c r="L31" s="5">
        <v>1596165.0</v>
      </c>
      <c r="M31" s="5">
        <v>1596165.0</v>
      </c>
      <c r="N31" s="5">
        <v>1358500.0</v>
      </c>
      <c r="O31" s="5">
        <v>219115.0</v>
      </c>
      <c r="P31" s="5">
        <v>0.0</v>
      </c>
      <c r="Q31" s="5">
        <v>0.0</v>
      </c>
      <c r="R31" s="5">
        <v>0.0</v>
      </c>
      <c r="S31" s="3" t="s">
        <v>64</v>
      </c>
      <c r="T31" s="3" t="s">
        <v>64</v>
      </c>
      <c r="U31" s="3" t="s">
        <v>64</v>
      </c>
      <c r="V31" s="5">
        <v>18550.0</v>
      </c>
      <c r="W31" s="3" t="s">
        <v>64</v>
      </c>
      <c r="X31" s="3" t="s">
        <v>64</v>
      </c>
      <c r="Y31" s="3" t="s">
        <v>64</v>
      </c>
      <c r="Z31" s="3" t="s">
        <v>64</v>
      </c>
      <c r="AA31" s="3" t="s">
        <v>64</v>
      </c>
      <c r="AB31" s="3" t="s">
        <v>64</v>
      </c>
      <c r="AC31" s="3" t="s">
        <v>64</v>
      </c>
      <c r="AD31" s="3" t="s">
        <v>64</v>
      </c>
      <c r="AE31" s="3" t="s">
        <v>64</v>
      </c>
      <c r="AF31" s="3" t="s">
        <v>64</v>
      </c>
      <c r="AG31" s="3" t="s">
        <v>64</v>
      </c>
      <c r="AH31" s="6">
        <v>1596165.0</v>
      </c>
      <c r="AI31" s="5">
        <v>182601.0</v>
      </c>
      <c r="AJ31" s="5">
        <v>0.0</v>
      </c>
      <c r="AK31" s="5">
        <v>111732.0</v>
      </c>
      <c r="AL31" s="5">
        <v>0.0</v>
      </c>
      <c r="AM31" s="5">
        <v>9577.0</v>
      </c>
      <c r="AN31" s="5">
        <v>13000.0</v>
      </c>
      <c r="AO31" s="5">
        <v>0.0</v>
      </c>
      <c r="AP31" s="3" t="s">
        <v>64</v>
      </c>
      <c r="AQ31" s="3" t="s">
        <v>64</v>
      </c>
      <c r="AR31" s="3" t="s">
        <v>64</v>
      </c>
      <c r="AS31" s="3" t="s">
        <v>64</v>
      </c>
      <c r="AT31" s="3" t="s">
        <v>64</v>
      </c>
      <c r="AU31" s="3" t="s">
        <v>64</v>
      </c>
      <c r="AV31" s="3" t="s">
        <v>64</v>
      </c>
      <c r="AW31" s="6">
        <v>316910.0</v>
      </c>
      <c r="AX31" s="6">
        <v>1279255.0</v>
      </c>
      <c r="AY31" s="6">
        <v>0.0</v>
      </c>
    </row>
    <row r="32">
      <c r="A32" s="3" t="s">
        <v>214</v>
      </c>
      <c r="B32" s="3" t="s">
        <v>58</v>
      </c>
      <c r="C32" s="3" t="s">
        <v>215</v>
      </c>
      <c r="D32" s="3" t="s">
        <v>216</v>
      </c>
      <c r="E32" s="3" t="s">
        <v>217</v>
      </c>
      <c r="F32" s="3" t="s">
        <v>186</v>
      </c>
      <c r="G32" s="3" t="s">
        <v>159</v>
      </c>
      <c r="H32" s="3" t="s">
        <v>71</v>
      </c>
      <c r="I32" s="5">
        <v>30.0</v>
      </c>
      <c r="J32" s="5">
        <v>42.0</v>
      </c>
      <c r="K32" s="5">
        <v>0.0</v>
      </c>
      <c r="L32" s="5">
        <v>3351652.0</v>
      </c>
      <c r="M32" s="5">
        <v>3351652.0</v>
      </c>
      <c r="N32" s="5">
        <v>2816982.0</v>
      </c>
      <c r="O32" s="5">
        <v>219115.0</v>
      </c>
      <c r="P32" s="5">
        <v>0.0</v>
      </c>
      <c r="Q32" s="5">
        <v>0.0</v>
      </c>
      <c r="R32" s="5">
        <v>0.0</v>
      </c>
      <c r="S32" s="3" t="s">
        <v>64</v>
      </c>
      <c r="T32" s="3" t="s">
        <v>64</v>
      </c>
      <c r="U32" s="3" t="s">
        <v>64</v>
      </c>
      <c r="V32" s="3" t="s">
        <v>64</v>
      </c>
      <c r="W32" s="3" t="s">
        <v>64</v>
      </c>
      <c r="X32" s="3" t="s">
        <v>64</v>
      </c>
      <c r="Y32" s="3" t="s">
        <v>64</v>
      </c>
      <c r="Z32" s="3" t="s">
        <v>64</v>
      </c>
      <c r="AA32" s="3" t="s">
        <v>64</v>
      </c>
      <c r="AB32" s="5">
        <v>100000.0</v>
      </c>
      <c r="AC32" s="3" t="s">
        <v>64</v>
      </c>
      <c r="AD32" s="3" t="s">
        <v>64</v>
      </c>
      <c r="AE32" s="5">
        <v>315555.0</v>
      </c>
      <c r="AF32" s="5">
        <v>100000.0</v>
      </c>
      <c r="AG32" s="3" t="s">
        <v>64</v>
      </c>
      <c r="AH32" s="6">
        <v>3551652.0</v>
      </c>
      <c r="AI32" s="5">
        <v>377731.0</v>
      </c>
      <c r="AJ32" s="5">
        <v>0.0</v>
      </c>
      <c r="AK32" s="5">
        <v>234616.0</v>
      </c>
      <c r="AL32" s="5">
        <v>16921.0</v>
      </c>
      <c r="AM32" s="5">
        <v>20110.0</v>
      </c>
      <c r="AN32" s="5">
        <v>91513.0</v>
      </c>
      <c r="AO32" s="5">
        <v>0.0</v>
      </c>
      <c r="AP32" s="3" t="s">
        <v>64</v>
      </c>
      <c r="AQ32" s="3" t="s">
        <v>64</v>
      </c>
      <c r="AR32" s="3" t="s">
        <v>64</v>
      </c>
      <c r="AS32" s="5">
        <v>385837.0</v>
      </c>
      <c r="AT32" s="3" t="s">
        <v>64</v>
      </c>
      <c r="AU32" s="3" t="s">
        <v>64</v>
      </c>
      <c r="AV32" s="3" t="s">
        <v>64</v>
      </c>
      <c r="AW32" s="6">
        <v>1126728.0</v>
      </c>
      <c r="AX32" s="6">
        <v>2424924.0</v>
      </c>
      <c r="AY32" s="6">
        <v>0.0</v>
      </c>
    </row>
    <row r="33">
      <c r="A33" s="3" t="s">
        <v>218</v>
      </c>
      <c r="B33" s="3" t="s">
        <v>58</v>
      </c>
      <c r="C33" s="3" t="s">
        <v>219</v>
      </c>
      <c r="D33" s="3" t="s">
        <v>220</v>
      </c>
      <c r="E33" s="3" t="s">
        <v>221</v>
      </c>
      <c r="F33" s="3" t="s">
        <v>222</v>
      </c>
      <c r="G33" s="3" t="s">
        <v>104</v>
      </c>
      <c r="H33" s="3" t="s">
        <v>106</v>
      </c>
      <c r="I33" s="5">
        <v>30.0</v>
      </c>
      <c r="J33" s="5">
        <v>44.0</v>
      </c>
      <c r="K33" s="5">
        <v>0.0</v>
      </c>
      <c r="L33" s="5">
        <v>2860189.0</v>
      </c>
      <c r="M33" s="5">
        <v>2860189.0</v>
      </c>
      <c r="N33" s="5">
        <v>2641074.0</v>
      </c>
      <c r="O33" s="5">
        <v>219115.0</v>
      </c>
      <c r="P33" s="5">
        <v>0.0</v>
      </c>
      <c r="Q33" s="5">
        <v>0.0</v>
      </c>
      <c r="R33" s="5">
        <v>0.0</v>
      </c>
      <c r="S33" s="3" t="s">
        <v>64</v>
      </c>
      <c r="T33" s="3" t="s">
        <v>64</v>
      </c>
      <c r="U33" s="3" t="s">
        <v>64</v>
      </c>
      <c r="V33" s="3" t="s">
        <v>64</v>
      </c>
      <c r="W33" s="3" t="s">
        <v>64</v>
      </c>
      <c r="X33" s="3" t="s">
        <v>64</v>
      </c>
      <c r="Y33" s="3" t="s">
        <v>64</v>
      </c>
      <c r="Z33" s="3" t="s">
        <v>64</v>
      </c>
      <c r="AA33" s="3" t="s">
        <v>64</v>
      </c>
      <c r="AB33" s="5">
        <v>150000.0</v>
      </c>
      <c r="AC33" s="3" t="s">
        <v>64</v>
      </c>
      <c r="AD33" s="3" t="s">
        <v>64</v>
      </c>
      <c r="AE33" s="3" t="s">
        <v>64</v>
      </c>
      <c r="AF33" s="5">
        <v>150000.0</v>
      </c>
      <c r="AG33" s="3" t="s">
        <v>64</v>
      </c>
      <c r="AH33" s="6">
        <v>3160189.0</v>
      </c>
      <c r="AI33" s="5">
        <v>302608.0</v>
      </c>
      <c r="AJ33" s="5">
        <v>0.0</v>
      </c>
      <c r="AK33" s="5">
        <v>200213.0</v>
      </c>
      <c r="AL33" s="5">
        <v>0.0</v>
      </c>
      <c r="AM33" s="5">
        <v>17161.0</v>
      </c>
      <c r="AN33" s="5">
        <v>62547.0</v>
      </c>
      <c r="AO33" s="5">
        <v>0.0</v>
      </c>
      <c r="AP33" s="3" t="s">
        <v>64</v>
      </c>
      <c r="AQ33" s="5">
        <v>19800.0</v>
      </c>
      <c r="AR33" s="3" t="s">
        <v>64</v>
      </c>
      <c r="AS33" s="3" t="s">
        <v>64</v>
      </c>
      <c r="AT33" s="3" t="s">
        <v>64</v>
      </c>
      <c r="AU33" s="3" t="s">
        <v>64</v>
      </c>
      <c r="AV33" s="3" t="s">
        <v>64</v>
      </c>
      <c r="AW33" s="6">
        <v>602329.0</v>
      </c>
      <c r="AX33" s="6">
        <v>2557860.0</v>
      </c>
      <c r="AY33" s="6">
        <v>0.0</v>
      </c>
    </row>
    <row r="34">
      <c r="A34" s="3" t="s">
        <v>223</v>
      </c>
      <c r="B34" s="3" t="s">
        <v>58</v>
      </c>
      <c r="C34" s="3" t="s">
        <v>224</v>
      </c>
      <c r="D34" s="3" t="s">
        <v>225</v>
      </c>
      <c r="E34" s="3" t="s">
        <v>226</v>
      </c>
      <c r="F34" s="3" t="s">
        <v>227</v>
      </c>
      <c r="G34" s="3" t="s">
        <v>228</v>
      </c>
      <c r="H34" s="3" t="s">
        <v>64</v>
      </c>
      <c r="I34" s="5">
        <v>30.0</v>
      </c>
      <c r="J34" s="5">
        <v>42.0</v>
      </c>
      <c r="K34" s="5">
        <v>0.0</v>
      </c>
      <c r="L34" s="5">
        <v>2748807.0</v>
      </c>
      <c r="M34" s="5">
        <v>2748807.0</v>
      </c>
      <c r="N34" s="5">
        <v>2056359.0</v>
      </c>
      <c r="O34" s="5">
        <v>219115.0</v>
      </c>
      <c r="P34" s="5">
        <v>0.0</v>
      </c>
      <c r="Q34" s="5">
        <v>0.0</v>
      </c>
      <c r="R34" s="5">
        <v>0.0</v>
      </c>
      <c r="S34" s="3" t="s">
        <v>64</v>
      </c>
      <c r="T34" s="3" t="s">
        <v>64</v>
      </c>
      <c r="U34" s="3" t="s">
        <v>64</v>
      </c>
      <c r="V34" s="3" t="s">
        <v>64</v>
      </c>
      <c r="W34" s="3" t="s">
        <v>64</v>
      </c>
      <c r="X34" s="3" t="s">
        <v>64</v>
      </c>
      <c r="Y34" s="5">
        <v>125000.0</v>
      </c>
      <c r="Z34" s="3" t="s">
        <v>64</v>
      </c>
      <c r="AA34" s="5">
        <v>473333.0</v>
      </c>
      <c r="AB34" s="5">
        <v>250000.0</v>
      </c>
      <c r="AC34" s="3" t="s">
        <v>64</v>
      </c>
      <c r="AD34" s="3" t="s">
        <v>64</v>
      </c>
      <c r="AE34" s="3" t="s">
        <v>64</v>
      </c>
      <c r="AF34" s="5">
        <v>250000.0</v>
      </c>
      <c r="AG34" s="3" t="s">
        <v>64</v>
      </c>
      <c r="AH34" s="6">
        <v>3373807.0</v>
      </c>
      <c r="AI34" s="5">
        <v>309791.0</v>
      </c>
      <c r="AJ34" s="5">
        <v>0.0</v>
      </c>
      <c r="AK34" s="5">
        <v>192416.0</v>
      </c>
      <c r="AL34" s="5">
        <v>1080.0</v>
      </c>
      <c r="AM34" s="5">
        <v>16493.0</v>
      </c>
      <c r="AN34" s="5">
        <v>53653.0</v>
      </c>
      <c r="AO34" s="5">
        <v>0.0</v>
      </c>
      <c r="AP34" s="3" t="s">
        <v>64</v>
      </c>
      <c r="AQ34" s="3" t="s">
        <v>64</v>
      </c>
      <c r="AR34" s="3" t="s">
        <v>64</v>
      </c>
      <c r="AS34" s="5">
        <v>186081.0</v>
      </c>
      <c r="AT34" s="3" t="s">
        <v>64</v>
      </c>
      <c r="AU34" s="3" t="s">
        <v>64</v>
      </c>
      <c r="AV34" s="3" t="s">
        <v>64</v>
      </c>
      <c r="AW34" s="6">
        <v>759514.0</v>
      </c>
      <c r="AX34" s="6">
        <v>2614293.0</v>
      </c>
      <c r="AY34" s="6">
        <v>0.0</v>
      </c>
    </row>
    <row r="35">
      <c r="A35" s="3" t="s">
        <v>229</v>
      </c>
      <c r="B35" s="3" t="s">
        <v>58</v>
      </c>
      <c r="C35" s="3" t="s">
        <v>230</v>
      </c>
      <c r="D35" s="3" t="s">
        <v>231</v>
      </c>
      <c r="E35" s="3" t="s">
        <v>232</v>
      </c>
      <c r="F35" s="3" t="s">
        <v>233</v>
      </c>
      <c r="G35" s="3" t="s">
        <v>159</v>
      </c>
      <c r="H35" s="3" t="s">
        <v>71</v>
      </c>
      <c r="I35" s="5">
        <v>30.0</v>
      </c>
      <c r="J35" s="5">
        <v>42.0</v>
      </c>
      <c r="K35" s="5">
        <v>0.0</v>
      </c>
      <c r="L35" s="5">
        <v>3678639.0</v>
      </c>
      <c r="M35" s="5">
        <v>4263081.0</v>
      </c>
      <c r="N35" s="5">
        <v>3570633.0</v>
      </c>
      <c r="O35" s="5">
        <v>219115.0</v>
      </c>
      <c r="P35" s="5">
        <v>0.0</v>
      </c>
      <c r="Q35" s="5">
        <v>0.0</v>
      </c>
      <c r="R35" s="5">
        <v>0.0</v>
      </c>
      <c r="S35" s="3" t="s">
        <v>64</v>
      </c>
      <c r="T35" s="3" t="s">
        <v>64</v>
      </c>
      <c r="U35" s="3" t="s">
        <v>64</v>
      </c>
      <c r="V35" s="3" t="s">
        <v>64</v>
      </c>
      <c r="W35" s="3" t="s">
        <v>64</v>
      </c>
      <c r="X35" s="3" t="s">
        <v>64</v>
      </c>
      <c r="Y35" s="3" t="s">
        <v>64</v>
      </c>
      <c r="Z35" s="3" t="s">
        <v>64</v>
      </c>
      <c r="AA35" s="3" t="s">
        <v>64</v>
      </c>
      <c r="AB35" s="5">
        <v>100000.0</v>
      </c>
      <c r="AC35" s="3" t="s">
        <v>64</v>
      </c>
      <c r="AD35" s="3" t="s">
        <v>64</v>
      </c>
      <c r="AE35" s="5">
        <v>473333.0</v>
      </c>
      <c r="AF35" s="5">
        <v>100000.0</v>
      </c>
      <c r="AG35" s="3" t="s">
        <v>64</v>
      </c>
      <c r="AH35" s="6">
        <v>4463081.0</v>
      </c>
      <c r="AI35" s="5">
        <v>414583.0</v>
      </c>
      <c r="AJ35" s="5">
        <v>0.0</v>
      </c>
      <c r="AK35" s="5">
        <v>257505.0</v>
      </c>
      <c r="AL35" s="5">
        <v>1471.0</v>
      </c>
      <c r="AM35" s="5">
        <v>25578.0</v>
      </c>
      <c r="AN35" s="5">
        <v>160564.0</v>
      </c>
      <c r="AO35" s="5">
        <v>0.0</v>
      </c>
      <c r="AP35" s="3" t="s">
        <v>64</v>
      </c>
      <c r="AQ35" s="3" t="s">
        <v>64</v>
      </c>
      <c r="AR35" s="3" t="s">
        <v>64</v>
      </c>
      <c r="AS35" s="5">
        <v>29854.0</v>
      </c>
      <c r="AT35" s="3" t="s">
        <v>64</v>
      </c>
      <c r="AU35" s="3" t="s">
        <v>64</v>
      </c>
      <c r="AV35" s="3" t="s">
        <v>64</v>
      </c>
      <c r="AW35" s="6">
        <v>889555.0</v>
      </c>
      <c r="AX35" s="6">
        <v>3573526.0</v>
      </c>
      <c r="AY35" s="6">
        <v>0.0</v>
      </c>
    </row>
    <row r="36">
      <c r="A36" s="3" t="s">
        <v>234</v>
      </c>
      <c r="B36" s="3" t="s">
        <v>58</v>
      </c>
      <c r="C36" s="3" t="s">
        <v>235</v>
      </c>
      <c r="D36" s="3" t="s">
        <v>236</v>
      </c>
      <c r="E36" s="3" t="s">
        <v>237</v>
      </c>
      <c r="F36" s="3" t="s">
        <v>238</v>
      </c>
      <c r="G36" s="3" t="s">
        <v>131</v>
      </c>
      <c r="H36" s="3" t="s">
        <v>71</v>
      </c>
      <c r="I36" s="5">
        <v>30.0</v>
      </c>
      <c r="J36" s="5">
        <v>40.0</v>
      </c>
      <c r="K36" s="5">
        <v>0.0</v>
      </c>
      <c r="L36" s="5">
        <v>3678639.0</v>
      </c>
      <c r="M36" s="5">
        <v>4328779.0</v>
      </c>
      <c r="N36" s="5">
        <v>4109664.0</v>
      </c>
      <c r="O36" s="5">
        <v>219115.0</v>
      </c>
      <c r="P36" s="5">
        <v>0.0</v>
      </c>
      <c r="Q36" s="5">
        <v>0.0</v>
      </c>
      <c r="R36" s="5">
        <v>0.0</v>
      </c>
      <c r="S36" s="3" t="s">
        <v>64</v>
      </c>
      <c r="T36" s="3" t="s">
        <v>64</v>
      </c>
      <c r="U36" s="3" t="s">
        <v>64</v>
      </c>
      <c r="V36" s="3" t="s">
        <v>64</v>
      </c>
      <c r="W36" s="3" t="s">
        <v>64</v>
      </c>
      <c r="X36" s="3" t="s">
        <v>64</v>
      </c>
      <c r="Y36" s="3" t="s">
        <v>64</v>
      </c>
      <c r="Z36" s="3" t="s">
        <v>64</v>
      </c>
      <c r="AA36" s="3" t="s">
        <v>64</v>
      </c>
      <c r="AB36" s="3" t="s">
        <v>64</v>
      </c>
      <c r="AC36" s="3" t="s">
        <v>64</v>
      </c>
      <c r="AD36" s="3" t="s">
        <v>64</v>
      </c>
      <c r="AE36" s="3" t="s">
        <v>64</v>
      </c>
      <c r="AF36" s="3" t="s">
        <v>64</v>
      </c>
      <c r="AG36" s="3" t="s">
        <v>64</v>
      </c>
      <c r="AH36" s="6">
        <v>4328779.0</v>
      </c>
      <c r="AI36" s="5">
        <v>414583.0</v>
      </c>
      <c r="AJ36" s="5">
        <v>0.0</v>
      </c>
      <c r="AK36" s="5">
        <v>257505.0</v>
      </c>
      <c r="AL36" s="5">
        <v>306471.0</v>
      </c>
      <c r="AM36" s="5">
        <v>25973.0</v>
      </c>
      <c r="AN36" s="5">
        <v>168443.0</v>
      </c>
      <c r="AO36" s="5">
        <v>0.0</v>
      </c>
      <c r="AP36" s="3" t="s">
        <v>64</v>
      </c>
      <c r="AQ36" s="3" t="s">
        <v>64</v>
      </c>
      <c r="AR36" s="3" t="s">
        <v>64</v>
      </c>
      <c r="AS36" s="3" t="s">
        <v>64</v>
      </c>
      <c r="AT36" s="3" t="s">
        <v>64</v>
      </c>
      <c r="AU36" s="3" t="s">
        <v>64</v>
      </c>
      <c r="AV36" s="3" t="s">
        <v>64</v>
      </c>
      <c r="AW36" s="6">
        <v>1172975.0</v>
      </c>
      <c r="AX36" s="6">
        <v>3155804.0</v>
      </c>
      <c r="AY36" s="6">
        <v>0.0</v>
      </c>
    </row>
    <row r="37">
      <c r="A37" s="3" t="s">
        <v>239</v>
      </c>
      <c r="B37" s="3" t="s">
        <v>58</v>
      </c>
      <c r="C37" s="3" t="s">
        <v>240</v>
      </c>
      <c r="D37" s="3" t="s">
        <v>241</v>
      </c>
      <c r="E37" s="3" t="s">
        <v>242</v>
      </c>
      <c r="F37" s="3" t="s">
        <v>243</v>
      </c>
      <c r="G37" s="3" t="s">
        <v>82</v>
      </c>
      <c r="H37" s="3" t="s">
        <v>71</v>
      </c>
      <c r="I37" s="5">
        <v>21.0</v>
      </c>
      <c r="J37" s="5">
        <v>40.0</v>
      </c>
      <c r="K37" s="5">
        <v>0.0</v>
      </c>
      <c r="L37" s="5">
        <v>1615615.0</v>
      </c>
      <c r="M37" s="5">
        <v>1615615.0</v>
      </c>
      <c r="N37" s="5">
        <v>1396500.0</v>
      </c>
      <c r="O37" s="5">
        <v>219115.0</v>
      </c>
      <c r="P37" s="5">
        <v>0.0</v>
      </c>
      <c r="Q37" s="5">
        <v>0.0</v>
      </c>
      <c r="R37" s="5">
        <v>0.0</v>
      </c>
      <c r="S37" s="5">
        <v>7000.0</v>
      </c>
      <c r="T37" s="3" t="s">
        <v>64</v>
      </c>
      <c r="U37" s="5">
        <v>14000.0</v>
      </c>
      <c r="V37" s="3" t="s">
        <v>64</v>
      </c>
      <c r="W37" s="3" t="s">
        <v>64</v>
      </c>
      <c r="X37" s="3" t="s">
        <v>64</v>
      </c>
      <c r="Y37" s="3" t="s">
        <v>64</v>
      </c>
      <c r="Z37" s="3" t="s">
        <v>64</v>
      </c>
      <c r="AA37" s="3" t="s">
        <v>64</v>
      </c>
      <c r="AB37" s="3" t="s">
        <v>64</v>
      </c>
      <c r="AC37" s="3" t="s">
        <v>64</v>
      </c>
      <c r="AD37" s="3" t="s">
        <v>64</v>
      </c>
      <c r="AE37" s="3" t="s">
        <v>64</v>
      </c>
      <c r="AF37" s="3" t="s">
        <v>64</v>
      </c>
      <c r="AG37" s="3" t="s">
        <v>64</v>
      </c>
      <c r="AH37" s="6">
        <v>1636615.0</v>
      </c>
      <c r="AI37" s="5">
        <v>170932.0</v>
      </c>
      <c r="AJ37" s="5">
        <v>0.0</v>
      </c>
      <c r="AK37" s="5">
        <v>113093.0</v>
      </c>
      <c r="AL37" s="5">
        <v>21839.0</v>
      </c>
      <c r="AM37" s="5">
        <v>9694.0</v>
      </c>
      <c r="AN37" s="5">
        <v>13312.0</v>
      </c>
      <c r="AO37" s="5">
        <v>0.0</v>
      </c>
      <c r="AP37" s="3" t="s">
        <v>64</v>
      </c>
      <c r="AQ37" s="3" t="s">
        <v>64</v>
      </c>
      <c r="AR37" s="3" t="s">
        <v>64</v>
      </c>
      <c r="AS37" s="3" t="s">
        <v>64</v>
      </c>
      <c r="AT37" s="3" t="s">
        <v>64</v>
      </c>
      <c r="AU37" s="3" t="s">
        <v>64</v>
      </c>
      <c r="AV37" s="3" t="s">
        <v>64</v>
      </c>
      <c r="AW37" s="6">
        <v>328870.0</v>
      </c>
      <c r="AX37" s="6">
        <v>1307745.0</v>
      </c>
      <c r="AY37" s="6">
        <v>0.0</v>
      </c>
    </row>
    <row r="38">
      <c r="A38" s="3" t="s">
        <v>244</v>
      </c>
      <c r="B38" s="3" t="s">
        <v>58</v>
      </c>
      <c r="C38" s="3" t="s">
        <v>245</v>
      </c>
      <c r="D38" s="3" t="s">
        <v>246</v>
      </c>
      <c r="E38" s="3" t="s">
        <v>247</v>
      </c>
      <c r="F38" s="3" t="s">
        <v>248</v>
      </c>
      <c r="G38" s="3" t="s">
        <v>104</v>
      </c>
      <c r="H38" s="3" t="s">
        <v>106</v>
      </c>
      <c r="I38" s="5">
        <v>30.0</v>
      </c>
      <c r="J38" s="5">
        <v>44.0</v>
      </c>
      <c r="K38" s="5">
        <v>0.0</v>
      </c>
      <c r="L38" s="5">
        <v>2586937.0</v>
      </c>
      <c r="M38" s="5">
        <v>2586937.0</v>
      </c>
      <c r="N38" s="5">
        <v>2367822.0</v>
      </c>
      <c r="O38" s="5">
        <v>219115.0</v>
      </c>
      <c r="P38" s="5">
        <v>0.0</v>
      </c>
      <c r="Q38" s="5">
        <v>0.0</v>
      </c>
      <c r="R38" s="5">
        <v>0.0</v>
      </c>
      <c r="S38" s="3" t="s">
        <v>64</v>
      </c>
      <c r="T38" s="3" t="s">
        <v>64</v>
      </c>
      <c r="U38" s="3" t="s">
        <v>64</v>
      </c>
      <c r="V38" s="3" t="s">
        <v>64</v>
      </c>
      <c r="W38" s="3" t="s">
        <v>64</v>
      </c>
      <c r="X38" s="3" t="s">
        <v>64</v>
      </c>
      <c r="Y38" s="3" t="s">
        <v>64</v>
      </c>
      <c r="Z38" s="3" t="s">
        <v>64</v>
      </c>
      <c r="AA38" s="3" t="s">
        <v>64</v>
      </c>
      <c r="AB38" s="3" t="s">
        <v>64</v>
      </c>
      <c r="AC38" s="3" t="s">
        <v>64</v>
      </c>
      <c r="AD38" s="3" t="s">
        <v>64</v>
      </c>
      <c r="AE38" s="3" t="s">
        <v>64</v>
      </c>
      <c r="AF38" s="3" t="s">
        <v>64</v>
      </c>
      <c r="AG38" s="3" t="s">
        <v>64</v>
      </c>
      <c r="AH38" s="6">
        <v>2586937.0</v>
      </c>
      <c r="AI38" s="5">
        <v>288702.0</v>
      </c>
      <c r="AJ38" s="5">
        <v>0.0</v>
      </c>
      <c r="AK38" s="5">
        <v>181086.0</v>
      </c>
      <c r="AL38" s="5">
        <v>408028.0</v>
      </c>
      <c r="AM38" s="5">
        <v>15522.0</v>
      </c>
      <c r="AN38" s="5">
        <v>42318.0</v>
      </c>
      <c r="AO38" s="5">
        <v>0.0</v>
      </c>
      <c r="AP38" s="3" t="s">
        <v>64</v>
      </c>
      <c r="AQ38" s="3" t="s">
        <v>64</v>
      </c>
      <c r="AR38" s="3" t="s">
        <v>64</v>
      </c>
      <c r="AS38" s="3" t="s">
        <v>64</v>
      </c>
      <c r="AT38" s="3" t="s">
        <v>64</v>
      </c>
      <c r="AU38" s="3" t="s">
        <v>64</v>
      </c>
      <c r="AV38" s="3" t="s">
        <v>64</v>
      </c>
      <c r="AW38" s="6">
        <v>935656.0</v>
      </c>
      <c r="AX38" s="6">
        <v>1651281.0</v>
      </c>
      <c r="AY38" s="6">
        <v>0.0</v>
      </c>
    </row>
    <row r="39">
      <c r="A39" s="3" t="s">
        <v>249</v>
      </c>
      <c r="B39" s="3" t="s">
        <v>58</v>
      </c>
      <c r="C39" s="3" t="s">
        <v>200</v>
      </c>
      <c r="D39" s="3" t="s">
        <v>122</v>
      </c>
      <c r="E39" s="3" t="s">
        <v>250</v>
      </c>
      <c r="F39" s="3" t="s">
        <v>111</v>
      </c>
      <c r="G39" s="3" t="s">
        <v>125</v>
      </c>
      <c r="H39" s="3" t="s">
        <v>71</v>
      </c>
      <c r="I39" s="5">
        <v>3.0</v>
      </c>
      <c r="J39" s="5">
        <v>40.0</v>
      </c>
      <c r="K39" s="5">
        <v>0.0</v>
      </c>
      <c r="L39" s="5">
        <v>183941.0</v>
      </c>
      <c r="M39" s="5">
        <v>183941.0</v>
      </c>
      <c r="N39" s="5">
        <v>147153.0</v>
      </c>
      <c r="O39" s="5">
        <v>36788.0</v>
      </c>
      <c r="P39" s="5">
        <v>0.0</v>
      </c>
      <c r="Q39" s="5">
        <v>0.0</v>
      </c>
      <c r="R39" s="5">
        <v>0.0</v>
      </c>
      <c r="S39" s="3" t="s">
        <v>64</v>
      </c>
      <c r="T39" s="3" t="s">
        <v>64</v>
      </c>
      <c r="U39" s="3" t="s">
        <v>64</v>
      </c>
      <c r="V39" s="3" t="s">
        <v>64</v>
      </c>
      <c r="W39" s="3" t="s">
        <v>64</v>
      </c>
      <c r="X39" s="3" t="s">
        <v>64</v>
      </c>
      <c r="Y39" s="3" t="s">
        <v>64</v>
      </c>
      <c r="Z39" s="3" t="s">
        <v>64</v>
      </c>
      <c r="AA39" s="3" t="s">
        <v>64</v>
      </c>
      <c r="AB39" s="3" t="s">
        <v>64</v>
      </c>
      <c r="AC39" s="3" t="s">
        <v>64</v>
      </c>
      <c r="AD39" s="3" t="s">
        <v>64</v>
      </c>
      <c r="AE39" s="3" t="s">
        <v>64</v>
      </c>
      <c r="AF39" s="3" t="s">
        <v>64</v>
      </c>
      <c r="AG39" s="3" t="s">
        <v>64</v>
      </c>
      <c r="AH39" s="6">
        <v>183941.0</v>
      </c>
      <c r="AI39" s="5">
        <v>21043.0</v>
      </c>
      <c r="AJ39" s="5">
        <v>0.0</v>
      </c>
      <c r="AK39" s="5">
        <v>12876.0</v>
      </c>
      <c r="AL39" s="5">
        <v>0.0</v>
      </c>
      <c r="AM39" s="5">
        <v>1104.0</v>
      </c>
      <c r="AN39" s="5">
        <v>0.0</v>
      </c>
      <c r="AO39" s="5">
        <v>0.0</v>
      </c>
      <c r="AP39" s="3" t="s">
        <v>64</v>
      </c>
      <c r="AQ39" s="5">
        <v>29700.0</v>
      </c>
      <c r="AR39" s="3" t="s">
        <v>64</v>
      </c>
      <c r="AS39" s="3" t="s">
        <v>64</v>
      </c>
      <c r="AT39" s="3" t="s">
        <v>64</v>
      </c>
      <c r="AU39" s="3" t="s">
        <v>64</v>
      </c>
      <c r="AV39" s="3" t="s">
        <v>64</v>
      </c>
      <c r="AW39" s="6">
        <v>64723.0</v>
      </c>
      <c r="AX39" s="6">
        <v>119218.0</v>
      </c>
      <c r="AY39" s="6">
        <v>0.0</v>
      </c>
    </row>
    <row r="40">
      <c r="A40" s="3" t="s">
        <v>251</v>
      </c>
      <c r="B40" s="3" t="s">
        <v>58</v>
      </c>
      <c r="C40" s="3" t="s">
        <v>200</v>
      </c>
      <c r="D40" s="3" t="s">
        <v>252</v>
      </c>
      <c r="E40" s="3" t="s">
        <v>253</v>
      </c>
      <c r="F40" s="3" t="s">
        <v>254</v>
      </c>
      <c r="G40" s="3" t="s">
        <v>125</v>
      </c>
      <c r="H40" s="3" t="s">
        <v>71</v>
      </c>
      <c r="I40" s="5">
        <v>30.0</v>
      </c>
      <c r="J40" s="5">
        <v>42.0</v>
      </c>
      <c r="K40" s="5">
        <v>0.0</v>
      </c>
      <c r="L40" s="5">
        <v>1700761.0</v>
      </c>
      <c r="M40" s="5">
        <v>1700761.0</v>
      </c>
      <c r="N40" s="5">
        <v>1481646.0</v>
      </c>
      <c r="O40" s="5">
        <v>219115.0</v>
      </c>
      <c r="P40" s="5">
        <v>0.0</v>
      </c>
      <c r="Q40" s="5">
        <v>0.0</v>
      </c>
      <c r="R40" s="5">
        <v>0.0</v>
      </c>
      <c r="S40" s="3" t="s">
        <v>64</v>
      </c>
      <c r="T40" s="3" t="s">
        <v>64</v>
      </c>
      <c r="U40" s="3" t="s">
        <v>64</v>
      </c>
      <c r="V40" s="3" t="s">
        <v>64</v>
      </c>
      <c r="W40" s="3" t="s">
        <v>64</v>
      </c>
      <c r="X40" s="3" t="s">
        <v>64</v>
      </c>
      <c r="Y40" s="3" t="s">
        <v>64</v>
      </c>
      <c r="Z40" s="3" t="s">
        <v>64</v>
      </c>
      <c r="AA40" s="3" t="s">
        <v>64</v>
      </c>
      <c r="AB40" s="3" t="s">
        <v>64</v>
      </c>
      <c r="AC40" s="3" t="s">
        <v>64</v>
      </c>
      <c r="AD40" s="3" t="s">
        <v>64</v>
      </c>
      <c r="AE40" s="3" t="s">
        <v>64</v>
      </c>
      <c r="AF40" s="3" t="s">
        <v>64</v>
      </c>
      <c r="AG40" s="3" t="s">
        <v>64</v>
      </c>
      <c r="AH40" s="6">
        <v>1700761.0</v>
      </c>
      <c r="AI40" s="5">
        <v>179941.0</v>
      </c>
      <c r="AJ40" s="5">
        <v>0.0</v>
      </c>
      <c r="AK40" s="5">
        <v>119053.0</v>
      </c>
      <c r="AL40" s="5">
        <v>0.0</v>
      </c>
      <c r="AM40" s="5">
        <v>10205.0</v>
      </c>
      <c r="AN40" s="5">
        <v>16972.0</v>
      </c>
      <c r="AO40" s="5">
        <v>0.0</v>
      </c>
      <c r="AP40" s="3" t="s">
        <v>64</v>
      </c>
      <c r="AQ40" s="3" t="s">
        <v>64</v>
      </c>
      <c r="AR40" s="3" t="s">
        <v>64</v>
      </c>
      <c r="AS40" s="3" t="s">
        <v>64</v>
      </c>
      <c r="AT40" s="3" t="s">
        <v>64</v>
      </c>
      <c r="AU40" s="3" t="s">
        <v>64</v>
      </c>
      <c r="AV40" s="3" t="s">
        <v>64</v>
      </c>
      <c r="AW40" s="6">
        <v>326171.0</v>
      </c>
      <c r="AX40" s="6">
        <v>1374590.0</v>
      </c>
      <c r="AY40" s="6">
        <v>0.0</v>
      </c>
    </row>
    <row r="41">
      <c r="A41" s="3" t="s">
        <v>255</v>
      </c>
      <c r="B41" s="3" t="s">
        <v>58</v>
      </c>
      <c r="C41" s="3" t="s">
        <v>200</v>
      </c>
      <c r="D41" s="3" t="s">
        <v>200</v>
      </c>
      <c r="E41" s="3" t="s">
        <v>256</v>
      </c>
      <c r="F41" s="3" t="s">
        <v>257</v>
      </c>
      <c r="G41" s="3" t="s">
        <v>104</v>
      </c>
      <c r="H41" s="3" t="s">
        <v>106</v>
      </c>
      <c r="I41" s="5">
        <v>30.0</v>
      </c>
      <c r="J41" s="5">
        <v>42.0</v>
      </c>
      <c r="K41" s="5">
        <v>0.0</v>
      </c>
      <c r="L41" s="5">
        <v>1235115.0</v>
      </c>
      <c r="M41" s="5">
        <v>1235115.0</v>
      </c>
      <c r="N41" s="5">
        <v>1016000.0</v>
      </c>
      <c r="O41" s="5">
        <v>219115.0</v>
      </c>
      <c r="P41" s="5">
        <v>0.0</v>
      </c>
      <c r="Q41" s="5">
        <v>0.0</v>
      </c>
      <c r="R41" s="5">
        <v>0.0</v>
      </c>
      <c r="S41" s="3" t="s">
        <v>64</v>
      </c>
      <c r="T41" s="3" t="s">
        <v>64</v>
      </c>
      <c r="U41" s="3" t="s">
        <v>64</v>
      </c>
      <c r="V41" s="3" t="s">
        <v>64</v>
      </c>
      <c r="W41" s="3" t="s">
        <v>64</v>
      </c>
      <c r="X41" s="3" t="s">
        <v>64</v>
      </c>
      <c r="Y41" s="5">
        <v>15000.0</v>
      </c>
      <c r="Z41" s="3" t="s">
        <v>64</v>
      </c>
      <c r="AA41" s="3" t="s">
        <v>64</v>
      </c>
      <c r="AB41" s="5">
        <v>50000.0</v>
      </c>
      <c r="AC41" s="3" t="s">
        <v>64</v>
      </c>
      <c r="AD41" s="3" t="s">
        <v>64</v>
      </c>
      <c r="AE41" s="3" t="s">
        <v>64</v>
      </c>
      <c r="AF41" s="5">
        <v>50000.0</v>
      </c>
      <c r="AG41" s="3" t="s">
        <v>64</v>
      </c>
      <c r="AH41" s="6">
        <v>1350115.0</v>
      </c>
      <c r="AI41" s="5">
        <v>129193.0</v>
      </c>
      <c r="AJ41" s="5">
        <v>0.0</v>
      </c>
      <c r="AK41" s="5">
        <v>86458.0</v>
      </c>
      <c r="AL41" s="5">
        <v>0.0</v>
      </c>
      <c r="AM41" s="5">
        <v>7411.0</v>
      </c>
      <c r="AN41" s="5">
        <v>1792.0</v>
      </c>
      <c r="AO41" s="5">
        <v>0.0</v>
      </c>
      <c r="AP41" s="3" t="s">
        <v>64</v>
      </c>
      <c r="AQ41" s="3" t="s">
        <v>64</v>
      </c>
      <c r="AR41" s="3" t="s">
        <v>64</v>
      </c>
      <c r="AS41" s="5">
        <v>74207.0</v>
      </c>
      <c r="AT41" s="3" t="s">
        <v>64</v>
      </c>
      <c r="AU41" s="5">
        <v>50000.0</v>
      </c>
      <c r="AV41" s="3" t="s">
        <v>64</v>
      </c>
      <c r="AW41" s="6">
        <v>349061.0</v>
      </c>
      <c r="AX41" s="6">
        <v>1001054.0</v>
      </c>
      <c r="AY41" s="6">
        <v>0.0</v>
      </c>
    </row>
    <row r="42">
      <c r="A42" s="3" t="s">
        <v>258</v>
      </c>
      <c r="B42" s="3" t="s">
        <v>58</v>
      </c>
      <c r="C42" s="3" t="s">
        <v>200</v>
      </c>
      <c r="D42" s="3" t="s">
        <v>259</v>
      </c>
      <c r="E42" s="3" t="s">
        <v>260</v>
      </c>
      <c r="F42" s="3" t="s">
        <v>261</v>
      </c>
      <c r="G42" s="3" t="s">
        <v>228</v>
      </c>
      <c r="H42" s="3" t="s">
        <v>64</v>
      </c>
      <c r="I42" s="5">
        <v>30.0</v>
      </c>
      <c r="J42" s="5">
        <v>42.0</v>
      </c>
      <c r="K42" s="5">
        <v>0.0</v>
      </c>
      <c r="L42" s="5">
        <v>3678639.0</v>
      </c>
      <c r="M42" s="5">
        <v>3768212.0</v>
      </c>
      <c r="N42" s="5">
        <v>3075764.0</v>
      </c>
      <c r="O42" s="5">
        <v>219115.0</v>
      </c>
      <c r="P42" s="5">
        <v>0.0</v>
      </c>
      <c r="Q42" s="5">
        <v>0.0</v>
      </c>
      <c r="R42" s="5">
        <v>0.0</v>
      </c>
      <c r="S42" s="3" t="s">
        <v>64</v>
      </c>
      <c r="T42" s="3" t="s">
        <v>64</v>
      </c>
      <c r="U42" s="3" t="s">
        <v>64</v>
      </c>
      <c r="V42" s="3" t="s">
        <v>64</v>
      </c>
      <c r="W42" s="3" t="s">
        <v>64</v>
      </c>
      <c r="X42" s="3" t="s">
        <v>64</v>
      </c>
      <c r="Y42" s="5">
        <v>100000.0</v>
      </c>
      <c r="Z42" s="3" t="s">
        <v>64</v>
      </c>
      <c r="AA42" s="5">
        <v>473333.0</v>
      </c>
      <c r="AB42" s="5">
        <v>387500.0</v>
      </c>
      <c r="AC42" s="3" t="s">
        <v>64</v>
      </c>
      <c r="AD42" s="3" t="s">
        <v>64</v>
      </c>
      <c r="AE42" s="3" t="s">
        <v>64</v>
      </c>
      <c r="AF42" s="5">
        <v>387500.0</v>
      </c>
      <c r="AG42" s="3" t="s">
        <v>64</v>
      </c>
      <c r="AH42" s="6">
        <v>4643212.0</v>
      </c>
      <c r="AI42" s="5">
        <v>389200.0</v>
      </c>
      <c r="AJ42" s="5">
        <v>0.0</v>
      </c>
      <c r="AK42" s="5">
        <v>257505.0</v>
      </c>
      <c r="AL42" s="5">
        <v>0.0</v>
      </c>
      <c r="AM42" s="5">
        <v>22609.0</v>
      </c>
      <c r="AN42" s="5">
        <v>123243.0</v>
      </c>
      <c r="AO42" s="5">
        <v>0.0</v>
      </c>
      <c r="AP42" s="3" t="s">
        <v>64</v>
      </c>
      <c r="AQ42" s="3" t="s">
        <v>64</v>
      </c>
      <c r="AR42" s="3" t="s">
        <v>64</v>
      </c>
      <c r="AS42" s="3" t="s">
        <v>64</v>
      </c>
      <c r="AT42" s="3" t="s">
        <v>64</v>
      </c>
      <c r="AU42" s="3" t="s">
        <v>64</v>
      </c>
      <c r="AV42" s="3" t="s">
        <v>64</v>
      </c>
      <c r="AW42" s="6">
        <v>792557.0</v>
      </c>
      <c r="AX42" s="6">
        <v>3850655.0</v>
      </c>
      <c r="AY42" s="6">
        <v>0.0</v>
      </c>
    </row>
    <row r="43">
      <c r="A43" s="3" t="s">
        <v>262</v>
      </c>
      <c r="B43" s="3" t="s">
        <v>58</v>
      </c>
      <c r="C43" s="3" t="s">
        <v>200</v>
      </c>
      <c r="D43" s="3" t="s">
        <v>263</v>
      </c>
      <c r="E43" s="3" t="s">
        <v>264</v>
      </c>
      <c r="F43" s="3" t="s">
        <v>265</v>
      </c>
      <c r="G43" s="3" t="s">
        <v>104</v>
      </c>
      <c r="H43" s="3" t="s">
        <v>106</v>
      </c>
      <c r="I43" s="5">
        <v>30.0</v>
      </c>
      <c r="J43" s="5">
        <v>41.0</v>
      </c>
      <c r="K43" s="5">
        <v>0.0</v>
      </c>
      <c r="L43" s="5">
        <v>714199.0</v>
      </c>
      <c r="M43" s="5">
        <v>714199.0</v>
      </c>
      <c r="N43" s="5">
        <v>571359.0</v>
      </c>
      <c r="O43" s="5">
        <v>142840.0</v>
      </c>
      <c r="P43" s="5">
        <v>0.0</v>
      </c>
      <c r="Q43" s="5">
        <v>0.0</v>
      </c>
      <c r="R43" s="5">
        <v>0.0</v>
      </c>
      <c r="S43" s="3" t="s">
        <v>64</v>
      </c>
      <c r="T43" s="3" t="s">
        <v>64</v>
      </c>
      <c r="U43" s="3" t="s">
        <v>64</v>
      </c>
      <c r="V43" s="3" t="s">
        <v>64</v>
      </c>
      <c r="W43" s="3" t="s">
        <v>64</v>
      </c>
      <c r="X43" s="3" t="s">
        <v>64</v>
      </c>
      <c r="Y43" s="5">
        <v>15000.0</v>
      </c>
      <c r="Z43" s="3" t="s">
        <v>64</v>
      </c>
      <c r="AA43" s="3" t="s">
        <v>64</v>
      </c>
      <c r="AB43" s="5">
        <v>50000.0</v>
      </c>
      <c r="AC43" s="3" t="s">
        <v>64</v>
      </c>
      <c r="AD43" s="3" t="s">
        <v>64</v>
      </c>
      <c r="AE43" s="3" t="s">
        <v>64</v>
      </c>
      <c r="AF43" s="5">
        <v>50000.0</v>
      </c>
      <c r="AG43" s="3" t="s">
        <v>64</v>
      </c>
      <c r="AH43" s="6">
        <v>829199.0</v>
      </c>
      <c r="AI43" s="5">
        <v>74705.0</v>
      </c>
      <c r="AJ43" s="5">
        <v>0.0</v>
      </c>
      <c r="AK43" s="5">
        <v>49994.0</v>
      </c>
      <c r="AL43" s="5">
        <v>0.0</v>
      </c>
      <c r="AM43" s="5">
        <v>4285.0</v>
      </c>
      <c r="AN43" s="5">
        <v>0.0</v>
      </c>
      <c r="AO43" s="5">
        <v>0.0</v>
      </c>
      <c r="AP43" s="3" t="s">
        <v>64</v>
      </c>
      <c r="AQ43" s="3" t="s">
        <v>64</v>
      </c>
      <c r="AR43" s="3" t="s">
        <v>64</v>
      </c>
      <c r="AS43" s="3" t="s">
        <v>64</v>
      </c>
      <c r="AT43" s="3" t="s">
        <v>64</v>
      </c>
      <c r="AU43" s="3" t="s">
        <v>64</v>
      </c>
      <c r="AV43" s="3" t="s">
        <v>64</v>
      </c>
      <c r="AW43" s="6">
        <v>128984.0</v>
      </c>
      <c r="AX43" s="6">
        <v>700215.0</v>
      </c>
      <c r="AY43" s="6">
        <v>0.0</v>
      </c>
    </row>
    <row r="44">
      <c r="A44" s="3" t="s">
        <v>266</v>
      </c>
      <c r="B44" s="3" t="s">
        <v>58</v>
      </c>
      <c r="C44" s="3" t="s">
        <v>200</v>
      </c>
      <c r="D44" s="3" t="s">
        <v>267</v>
      </c>
      <c r="E44" s="3" t="s">
        <v>268</v>
      </c>
      <c r="F44" s="3" t="s">
        <v>269</v>
      </c>
      <c r="G44" s="3" t="s">
        <v>63</v>
      </c>
      <c r="H44" s="3" t="s">
        <v>64</v>
      </c>
      <c r="I44" s="5">
        <v>30.0</v>
      </c>
      <c r="J44" s="5">
        <v>40.0</v>
      </c>
      <c r="K44" s="5">
        <v>0.0</v>
      </c>
      <c r="L44" s="5">
        <v>3047082.0</v>
      </c>
      <c r="M44" s="5">
        <v>3047082.0</v>
      </c>
      <c r="N44" s="5">
        <v>2354634.0</v>
      </c>
      <c r="O44" s="5">
        <v>219115.0</v>
      </c>
      <c r="P44" s="5">
        <v>0.0</v>
      </c>
      <c r="Q44" s="5">
        <v>0.0</v>
      </c>
      <c r="R44" s="5">
        <v>0.0</v>
      </c>
      <c r="S44" s="3" t="s">
        <v>64</v>
      </c>
      <c r="T44" s="3" t="s">
        <v>64</v>
      </c>
      <c r="U44" s="3" t="s">
        <v>64</v>
      </c>
      <c r="V44" s="3" t="s">
        <v>64</v>
      </c>
      <c r="W44" s="3" t="s">
        <v>64</v>
      </c>
      <c r="X44" s="3" t="s">
        <v>64</v>
      </c>
      <c r="Y44" s="5">
        <v>35000.0</v>
      </c>
      <c r="Z44" s="3" t="s">
        <v>64</v>
      </c>
      <c r="AA44" s="5">
        <v>473333.0</v>
      </c>
      <c r="AB44" s="5">
        <v>250000.0</v>
      </c>
      <c r="AC44" s="3" t="s">
        <v>64</v>
      </c>
      <c r="AD44" s="3" t="s">
        <v>64</v>
      </c>
      <c r="AE44" s="3" t="s">
        <v>64</v>
      </c>
      <c r="AF44" s="5">
        <v>215000.0</v>
      </c>
      <c r="AG44" s="3" t="s">
        <v>64</v>
      </c>
      <c r="AH44" s="6">
        <v>3547082.0</v>
      </c>
      <c r="AI44" s="5">
        <v>343406.0</v>
      </c>
      <c r="AJ44" s="5">
        <v>0.0</v>
      </c>
      <c r="AK44" s="5">
        <v>213296.0</v>
      </c>
      <c r="AL44" s="5">
        <v>0.0</v>
      </c>
      <c r="AM44" s="5">
        <v>18282.0</v>
      </c>
      <c r="AN44" s="5">
        <v>73099.0</v>
      </c>
      <c r="AO44" s="5">
        <v>0.0</v>
      </c>
      <c r="AP44" s="3" t="s">
        <v>64</v>
      </c>
      <c r="AQ44" s="3" t="s">
        <v>64</v>
      </c>
      <c r="AR44" s="3" t="s">
        <v>64</v>
      </c>
      <c r="AS44" s="3" t="s">
        <v>64</v>
      </c>
      <c r="AT44" s="3" t="s">
        <v>64</v>
      </c>
      <c r="AU44" s="3" t="s">
        <v>64</v>
      </c>
      <c r="AV44" s="3" t="s">
        <v>64</v>
      </c>
      <c r="AW44" s="6">
        <v>648083.0</v>
      </c>
      <c r="AX44" s="6">
        <v>2898999.0</v>
      </c>
      <c r="AY44" s="6">
        <v>0.0</v>
      </c>
    </row>
    <row r="45">
      <c r="A45" s="3" t="s">
        <v>270</v>
      </c>
      <c r="B45" s="3" t="s">
        <v>58</v>
      </c>
      <c r="C45" s="3" t="s">
        <v>271</v>
      </c>
      <c r="D45" s="3" t="s">
        <v>272</v>
      </c>
      <c r="E45" s="3" t="s">
        <v>273</v>
      </c>
      <c r="F45" s="3" t="s">
        <v>274</v>
      </c>
      <c r="G45" s="3" t="s">
        <v>63</v>
      </c>
      <c r="H45" s="3" t="s">
        <v>64</v>
      </c>
      <c r="I45" s="5">
        <v>30.0</v>
      </c>
      <c r="J45" s="5">
        <v>40.0</v>
      </c>
      <c r="K45" s="5">
        <v>0.0</v>
      </c>
      <c r="L45" s="5">
        <v>3654524.0</v>
      </c>
      <c r="M45" s="5">
        <v>3654524.0</v>
      </c>
      <c r="N45" s="5">
        <v>2804298.0</v>
      </c>
      <c r="O45" s="5">
        <v>219115.0</v>
      </c>
      <c r="P45" s="5">
        <v>0.0</v>
      </c>
      <c r="Q45" s="5">
        <v>0.0</v>
      </c>
      <c r="R45" s="5">
        <v>0.0</v>
      </c>
      <c r="S45" s="3" t="s">
        <v>64</v>
      </c>
      <c r="T45" s="3" t="s">
        <v>64</v>
      </c>
      <c r="U45" s="3" t="s">
        <v>64</v>
      </c>
      <c r="V45" s="3" t="s">
        <v>64</v>
      </c>
      <c r="W45" s="3" t="s">
        <v>64</v>
      </c>
      <c r="X45" s="3" t="s">
        <v>64</v>
      </c>
      <c r="Y45" s="5">
        <v>35000.0</v>
      </c>
      <c r="Z45" s="3" t="s">
        <v>64</v>
      </c>
      <c r="AA45" s="5">
        <v>631111.0</v>
      </c>
      <c r="AB45" s="5">
        <v>290000.0</v>
      </c>
      <c r="AC45" s="3" t="s">
        <v>64</v>
      </c>
      <c r="AD45" s="3" t="s">
        <v>64</v>
      </c>
      <c r="AE45" s="3" t="s">
        <v>64</v>
      </c>
      <c r="AF45" s="5">
        <v>255000.0</v>
      </c>
      <c r="AG45" s="3" t="s">
        <v>64</v>
      </c>
      <c r="AH45" s="6">
        <v>4234524.0</v>
      </c>
      <c r="AI45" s="5">
        <v>411865.0</v>
      </c>
      <c r="AJ45" s="5">
        <v>0.0</v>
      </c>
      <c r="AK45" s="5">
        <v>255817.0</v>
      </c>
      <c r="AL45" s="5">
        <v>0.0</v>
      </c>
      <c r="AM45" s="5">
        <v>21927.0</v>
      </c>
      <c r="AN45" s="5">
        <v>112524.0</v>
      </c>
      <c r="AO45" s="5">
        <v>0.0</v>
      </c>
      <c r="AP45" s="3" t="s">
        <v>64</v>
      </c>
      <c r="AQ45" s="3" t="s">
        <v>64</v>
      </c>
      <c r="AR45" s="3" t="s">
        <v>64</v>
      </c>
      <c r="AS45" s="3" t="s">
        <v>64</v>
      </c>
      <c r="AT45" s="3" t="s">
        <v>64</v>
      </c>
      <c r="AU45" s="3" t="s">
        <v>64</v>
      </c>
      <c r="AV45" s="3" t="s">
        <v>64</v>
      </c>
      <c r="AW45" s="6">
        <v>802133.0</v>
      </c>
      <c r="AX45" s="6">
        <v>3432391.0</v>
      </c>
      <c r="AY45" s="6">
        <v>0.0</v>
      </c>
    </row>
    <row r="46">
      <c r="A46" s="3" t="s">
        <v>275</v>
      </c>
      <c r="B46" s="3" t="s">
        <v>58</v>
      </c>
      <c r="C46" s="3" t="s">
        <v>276</v>
      </c>
      <c r="D46" s="3" t="s">
        <v>277</v>
      </c>
      <c r="E46" s="3" t="s">
        <v>278</v>
      </c>
      <c r="F46" s="3" t="s">
        <v>279</v>
      </c>
      <c r="G46" s="3" t="s">
        <v>173</v>
      </c>
      <c r="H46" s="3" t="s">
        <v>71</v>
      </c>
      <c r="I46" s="5">
        <v>30.0</v>
      </c>
      <c r="J46" s="5">
        <v>37.0</v>
      </c>
      <c r="K46" s="5">
        <v>0.0</v>
      </c>
      <c r="L46" s="5">
        <v>2501208.0</v>
      </c>
      <c r="M46" s="5">
        <v>2501208.0</v>
      </c>
      <c r="N46" s="5">
        <v>2282093.0</v>
      </c>
      <c r="O46" s="5">
        <v>219115.0</v>
      </c>
      <c r="P46" s="5">
        <v>0.0</v>
      </c>
      <c r="Q46" s="5">
        <v>0.0</v>
      </c>
      <c r="R46" s="5">
        <v>0.0</v>
      </c>
      <c r="S46" s="3" t="s">
        <v>64</v>
      </c>
      <c r="T46" s="3" t="s">
        <v>64</v>
      </c>
      <c r="U46" s="3" t="s">
        <v>64</v>
      </c>
      <c r="V46" s="3" t="s">
        <v>64</v>
      </c>
      <c r="W46" s="3" t="s">
        <v>64</v>
      </c>
      <c r="X46" s="3" t="s">
        <v>64</v>
      </c>
      <c r="Y46" s="3" t="s">
        <v>64</v>
      </c>
      <c r="Z46" s="3" t="s">
        <v>64</v>
      </c>
      <c r="AA46" s="3" t="s">
        <v>64</v>
      </c>
      <c r="AB46" s="5">
        <v>250000.0</v>
      </c>
      <c r="AC46" s="3" t="s">
        <v>64</v>
      </c>
      <c r="AD46" s="3" t="s">
        <v>64</v>
      </c>
      <c r="AE46" s="3" t="s">
        <v>64</v>
      </c>
      <c r="AF46" s="5">
        <v>250000.0</v>
      </c>
      <c r="AG46" s="3" t="s">
        <v>64</v>
      </c>
      <c r="AH46" s="6">
        <v>3001208.0</v>
      </c>
      <c r="AI46" s="5">
        <v>281886.0</v>
      </c>
      <c r="AJ46" s="5">
        <v>0.0</v>
      </c>
      <c r="AK46" s="5">
        <v>175085.0</v>
      </c>
      <c r="AL46" s="5">
        <v>0.0</v>
      </c>
      <c r="AM46" s="5">
        <v>15007.0</v>
      </c>
      <c r="AN46" s="5">
        <v>42479.0</v>
      </c>
      <c r="AO46" s="5">
        <v>0.0</v>
      </c>
      <c r="AP46" s="3" t="s">
        <v>64</v>
      </c>
      <c r="AQ46" s="3" t="s">
        <v>64</v>
      </c>
      <c r="AR46" s="3" t="s">
        <v>64</v>
      </c>
      <c r="AS46" s="3" t="s">
        <v>64</v>
      </c>
      <c r="AT46" s="3" t="s">
        <v>64</v>
      </c>
      <c r="AU46" s="3" t="s">
        <v>64</v>
      </c>
      <c r="AV46" s="3" t="s">
        <v>64</v>
      </c>
      <c r="AW46" s="6">
        <v>514457.0</v>
      </c>
      <c r="AX46" s="6">
        <v>2486751.0</v>
      </c>
      <c r="AY46" s="6">
        <v>0.0</v>
      </c>
    </row>
    <row r="47">
      <c r="A47" s="3" t="s">
        <v>280</v>
      </c>
      <c r="B47" s="3" t="s">
        <v>58</v>
      </c>
      <c r="C47" s="3" t="s">
        <v>281</v>
      </c>
      <c r="D47" s="3" t="s">
        <v>282</v>
      </c>
      <c r="E47" s="3" t="s">
        <v>283</v>
      </c>
      <c r="F47" s="3" t="s">
        <v>284</v>
      </c>
      <c r="G47" s="3" t="s">
        <v>213</v>
      </c>
      <c r="H47" s="3" t="s">
        <v>71</v>
      </c>
      <c r="I47" s="5">
        <v>12.0</v>
      </c>
      <c r="J47" s="5">
        <v>40.0</v>
      </c>
      <c r="K47" s="5">
        <v>0.0</v>
      </c>
      <c r="L47" s="5">
        <v>724670.0</v>
      </c>
      <c r="M47" s="5">
        <v>724670.0</v>
      </c>
      <c r="N47" s="5">
        <v>579736.0</v>
      </c>
      <c r="O47" s="5">
        <v>144934.0</v>
      </c>
      <c r="P47" s="5">
        <v>0.0</v>
      </c>
      <c r="Q47" s="5">
        <v>0.0</v>
      </c>
      <c r="R47" s="5">
        <v>0.0</v>
      </c>
      <c r="S47" s="3" t="s">
        <v>64</v>
      </c>
      <c r="T47" s="3" t="s">
        <v>64</v>
      </c>
      <c r="U47" s="3" t="s">
        <v>64</v>
      </c>
      <c r="V47" s="3" t="s">
        <v>64</v>
      </c>
      <c r="W47" s="3" t="s">
        <v>64</v>
      </c>
      <c r="X47" s="3" t="s">
        <v>64</v>
      </c>
      <c r="Y47" s="3" t="s">
        <v>64</v>
      </c>
      <c r="Z47" s="3" t="s">
        <v>64</v>
      </c>
      <c r="AA47" s="3" t="s">
        <v>64</v>
      </c>
      <c r="AB47" s="3" t="s">
        <v>64</v>
      </c>
      <c r="AC47" s="3" t="s">
        <v>64</v>
      </c>
      <c r="AD47" s="3" t="s">
        <v>64</v>
      </c>
      <c r="AE47" s="3" t="s">
        <v>64</v>
      </c>
      <c r="AF47" s="3" t="s">
        <v>64</v>
      </c>
      <c r="AG47" s="3" t="s">
        <v>64</v>
      </c>
      <c r="AH47" s="6">
        <v>724670.0</v>
      </c>
      <c r="AI47" s="5">
        <v>82975.0</v>
      </c>
      <c r="AJ47" s="5">
        <v>0.0</v>
      </c>
      <c r="AK47" s="5">
        <v>50727.0</v>
      </c>
      <c r="AL47" s="5">
        <v>0.0</v>
      </c>
      <c r="AM47" s="5">
        <v>0.0</v>
      </c>
      <c r="AN47" s="5">
        <v>0.0</v>
      </c>
      <c r="AO47" s="5">
        <v>0.0</v>
      </c>
      <c r="AP47" s="3" t="s">
        <v>64</v>
      </c>
      <c r="AQ47" s="3" t="s">
        <v>64</v>
      </c>
      <c r="AR47" s="3" t="s">
        <v>64</v>
      </c>
      <c r="AS47" s="3" t="s">
        <v>64</v>
      </c>
      <c r="AT47" s="3" t="s">
        <v>64</v>
      </c>
      <c r="AU47" s="3" t="s">
        <v>64</v>
      </c>
      <c r="AV47" s="3" t="s">
        <v>64</v>
      </c>
      <c r="AW47" s="6">
        <v>133702.0</v>
      </c>
      <c r="AX47" s="6">
        <v>590968.0</v>
      </c>
      <c r="AY47" s="6">
        <v>0.0</v>
      </c>
    </row>
    <row r="48">
      <c r="A48" s="3" t="s">
        <v>285</v>
      </c>
      <c r="B48" s="3" t="s">
        <v>58</v>
      </c>
      <c r="C48" s="3" t="s">
        <v>281</v>
      </c>
      <c r="D48" s="3" t="s">
        <v>286</v>
      </c>
      <c r="E48" s="3" t="s">
        <v>287</v>
      </c>
      <c r="F48" s="3" t="s">
        <v>227</v>
      </c>
      <c r="G48" s="3" t="s">
        <v>228</v>
      </c>
      <c r="H48" s="3" t="s">
        <v>64</v>
      </c>
      <c r="I48" s="5">
        <v>30.0</v>
      </c>
      <c r="J48" s="5">
        <v>42.0</v>
      </c>
      <c r="K48" s="5">
        <v>0.0</v>
      </c>
      <c r="L48" s="5">
        <v>2748807.0</v>
      </c>
      <c r="M48" s="5">
        <v>2748807.0</v>
      </c>
      <c r="N48" s="5">
        <v>2056359.0</v>
      </c>
      <c r="O48" s="5">
        <v>219115.0</v>
      </c>
      <c r="P48" s="5">
        <v>0.0</v>
      </c>
      <c r="Q48" s="5">
        <v>0.0</v>
      </c>
      <c r="R48" s="5">
        <v>0.0</v>
      </c>
      <c r="S48" s="3" t="s">
        <v>64</v>
      </c>
      <c r="T48" s="3" t="s">
        <v>64</v>
      </c>
      <c r="U48" s="3" t="s">
        <v>64</v>
      </c>
      <c r="V48" s="3" t="s">
        <v>64</v>
      </c>
      <c r="W48" s="3" t="s">
        <v>64</v>
      </c>
      <c r="X48" s="3" t="s">
        <v>64</v>
      </c>
      <c r="Y48" s="5">
        <v>125000.0</v>
      </c>
      <c r="Z48" s="3" t="s">
        <v>64</v>
      </c>
      <c r="AA48" s="5">
        <v>473333.0</v>
      </c>
      <c r="AB48" s="5">
        <v>250000.0</v>
      </c>
      <c r="AC48" s="3" t="s">
        <v>64</v>
      </c>
      <c r="AD48" s="3" t="s">
        <v>64</v>
      </c>
      <c r="AE48" s="3" t="s">
        <v>64</v>
      </c>
      <c r="AF48" s="5">
        <v>250000.0</v>
      </c>
      <c r="AG48" s="3" t="s">
        <v>64</v>
      </c>
      <c r="AH48" s="6">
        <v>3373807.0</v>
      </c>
      <c r="AI48" s="5">
        <v>314464.0</v>
      </c>
      <c r="AJ48" s="5">
        <v>0.0</v>
      </c>
      <c r="AK48" s="5">
        <v>192416.0</v>
      </c>
      <c r="AL48" s="5">
        <v>0.0</v>
      </c>
      <c r="AM48" s="5">
        <v>16493.0</v>
      </c>
      <c r="AN48" s="5">
        <v>53365.0</v>
      </c>
      <c r="AO48" s="5">
        <v>0.0</v>
      </c>
      <c r="AP48" s="3" t="s">
        <v>64</v>
      </c>
      <c r="AQ48" s="3" t="s">
        <v>64</v>
      </c>
      <c r="AR48" s="3" t="s">
        <v>64</v>
      </c>
      <c r="AS48" s="3" t="s">
        <v>64</v>
      </c>
      <c r="AT48" s="3" t="s">
        <v>64</v>
      </c>
      <c r="AU48" s="3" t="s">
        <v>64</v>
      </c>
      <c r="AV48" s="3" t="s">
        <v>64</v>
      </c>
      <c r="AW48" s="6">
        <v>576738.0</v>
      </c>
      <c r="AX48" s="6">
        <v>2797069.0</v>
      </c>
      <c r="AY48" s="6">
        <v>0.0</v>
      </c>
    </row>
    <row r="49">
      <c r="A49" s="3" t="s">
        <v>288</v>
      </c>
      <c r="B49" s="3" t="s">
        <v>58</v>
      </c>
      <c r="C49" s="3" t="s">
        <v>289</v>
      </c>
      <c r="D49" s="3" t="s">
        <v>290</v>
      </c>
      <c r="E49" s="3" t="s">
        <v>291</v>
      </c>
      <c r="F49" s="3" t="s">
        <v>292</v>
      </c>
      <c r="G49" s="3" t="s">
        <v>173</v>
      </c>
      <c r="H49" s="3" t="s">
        <v>71</v>
      </c>
      <c r="I49" s="5">
        <v>30.0</v>
      </c>
      <c r="J49" s="5">
        <v>37.0</v>
      </c>
      <c r="K49" s="5">
        <v>0.0</v>
      </c>
      <c r="L49" s="5">
        <v>2501208.0</v>
      </c>
      <c r="M49" s="5">
        <v>2501208.0</v>
      </c>
      <c r="N49" s="5">
        <v>2282093.0</v>
      </c>
      <c r="O49" s="5">
        <v>219115.0</v>
      </c>
      <c r="P49" s="5">
        <v>0.0</v>
      </c>
      <c r="Q49" s="5">
        <v>0.0</v>
      </c>
      <c r="R49" s="5">
        <v>0.0</v>
      </c>
      <c r="S49" s="3" t="s">
        <v>64</v>
      </c>
      <c r="T49" s="3" t="s">
        <v>64</v>
      </c>
      <c r="U49" s="3" t="s">
        <v>64</v>
      </c>
      <c r="V49" s="3" t="s">
        <v>64</v>
      </c>
      <c r="W49" s="3" t="s">
        <v>64</v>
      </c>
      <c r="X49" s="3" t="s">
        <v>64</v>
      </c>
      <c r="Y49" s="3" t="s">
        <v>64</v>
      </c>
      <c r="Z49" s="3" t="s">
        <v>64</v>
      </c>
      <c r="AA49" s="3" t="s">
        <v>64</v>
      </c>
      <c r="AB49" s="5">
        <v>250000.0</v>
      </c>
      <c r="AC49" s="3" t="s">
        <v>64</v>
      </c>
      <c r="AD49" s="3" t="s">
        <v>64</v>
      </c>
      <c r="AE49" s="3" t="s">
        <v>64</v>
      </c>
      <c r="AF49" s="5">
        <v>250000.0</v>
      </c>
      <c r="AG49" s="3" t="s">
        <v>64</v>
      </c>
      <c r="AH49" s="6">
        <v>3001208.0</v>
      </c>
      <c r="AI49" s="5">
        <v>264628.0</v>
      </c>
      <c r="AJ49" s="5">
        <v>0.0</v>
      </c>
      <c r="AK49" s="5">
        <v>175085.0</v>
      </c>
      <c r="AL49" s="5">
        <v>0.0</v>
      </c>
      <c r="AM49" s="5">
        <v>15007.0</v>
      </c>
      <c r="AN49" s="5">
        <v>43169.0</v>
      </c>
      <c r="AO49" s="5">
        <v>0.0</v>
      </c>
      <c r="AP49" s="3" t="s">
        <v>64</v>
      </c>
      <c r="AQ49" s="3" t="s">
        <v>64</v>
      </c>
      <c r="AR49" s="3" t="s">
        <v>64</v>
      </c>
      <c r="AS49" s="3" t="s">
        <v>64</v>
      </c>
      <c r="AT49" s="3" t="s">
        <v>64</v>
      </c>
      <c r="AU49" s="3" t="s">
        <v>64</v>
      </c>
      <c r="AV49" s="3" t="s">
        <v>64</v>
      </c>
      <c r="AW49" s="6">
        <v>497889.0</v>
      </c>
      <c r="AX49" s="6">
        <v>2503319.0</v>
      </c>
      <c r="AY49" s="6">
        <v>0.0</v>
      </c>
    </row>
    <row r="50">
      <c r="A50" s="3" t="s">
        <v>293</v>
      </c>
      <c r="B50" s="3" t="s">
        <v>58</v>
      </c>
      <c r="C50" s="3" t="s">
        <v>294</v>
      </c>
      <c r="D50" s="3" t="s">
        <v>122</v>
      </c>
      <c r="E50" s="3" t="s">
        <v>295</v>
      </c>
      <c r="F50" s="3" t="s">
        <v>261</v>
      </c>
      <c r="G50" s="3" t="s">
        <v>228</v>
      </c>
      <c r="H50" s="3" t="s">
        <v>64</v>
      </c>
      <c r="I50" s="5">
        <v>30.0</v>
      </c>
      <c r="J50" s="5">
        <v>42.0</v>
      </c>
      <c r="K50" s="5">
        <v>0.0</v>
      </c>
      <c r="L50" s="5">
        <v>3678639.0</v>
      </c>
      <c r="M50" s="5">
        <v>3768212.0</v>
      </c>
      <c r="N50" s="5">
        <v>3075764.0</v>
      </c>
      <c r="O50" s="5">
        <v>219115.0</v>
      </c>
      <c r="P50" s="5">
        <v>0.0</v>
      </c>
      <c r="Q50" s="5">
        <v>0.0</v>
      </c>
      <c r="R50" s="5">
        <v>0.0</v>
      </c>
      <c r="S50" s="3" t="s">
        <v>64</v>
      </c>
      <c r="T50" s="3" t="s">
        <v>64</v>
      </c>
      <c r="U50" s="3" t="s">
        <v>64</v>
      </c>
      <c r="V50" s="3" t="s">
        <v>64</v>
      </c>
      <c r="W50" s="3" t="s">
        <v>64</v>
      </c>
      <c r="X50" s="3" t="s">
        <v>64</v>
      </c>
      <c r="Y50" s="5">
        <v>100000.0</v>
      </c>
      <c r="Z50" s="3" t="s">
        <v>64</v>
      </c>
      <c r="AA50" s="5">
        <v>473333.0</v>
      </c>
      <c r="AB50" s="5">
        <v>387500.0</v>
      </c>
      <c r="AC50" s="3" t="s">
        <v>64</v>
      </c>
      <c r="AD50" s="3" t="s">
        <v>64</v>
      </c>
      <c r="AE50" s="3" t="s">
        <v>64</v>
      </c>
      <c r="AF50" s="5">
        <v>387500.0</v>
      </c>
      <c r="AG50" s="3" t="s">
        <v>64</v>
      </c>
      <c r="AH50" s="6">
        <v>4643212.0</v>
      </c>
      <c r="AI50" s="5">
        <v>414583.0</v>
      </c>
      <c r="AJ50" s="5">
        <v>0.0</v>
      </c>
      <c r="AK50" s="5">
        <v>257505.0</v>
      </c>
      <c r="AL50" s="5">
        <v>0.0</v>
      </c>
      <c r="AM50" s="5">
        <v>22609.0</v>
      </c>
      <c r="AN50" s="5">
        <v>121212.0</v>
      </c>
      <c r="AO50" s="5">
        <v>0.0</v>
      </c>
      <c r="AP50" s="3" t="s">
        <v>64</v>
      </c>
      <c r="AQ50" s="3" t="s">
        <v>64</v>
      </c>
      <c r="AR50" s="3" t="s">
        <v>64</v>
      </c>
      <c r="AS50" s="5">
        <v>11860.0</v>
      </c>
      <c r="AT50" s="3" t="s">
        <v>64</v>
      </c>
      <c r="AU50" s="3" t="s">
        <v>64</v>
      </c>
      <c r="AV50" s="5">
        <v>34187.0</v>
      </c>
      <c r="AW50" s="6">
        <v>861956.0</v>
      </c>
      <c r="AX50" s="6">
        <v>3781256.0</v>
      </c>
      <c r="AY50" s="6">
        <v>0.0</v>
      </c>
    </row>
    <row r="51">
      <c r="A51" s="3" t="s">
        <v>296</v>
      </c>
      <c r="B51" s="3" t="s">
        <v>58</v>
      </c>
      <c r="C51" s="3" t="s">
        <v>297</v>
      </c>
      <c r="D51" s="3" t="s">
        <v>298</v>
      </c>
      <c r="E51" s="3" t="s">
        <v>299</v>
      </c>
      <c r="F51" s="3" t="s">
        <v>279</v>
      </c>
      <c r="G51" s="3" t="s">
        <v>173</v>
      </c>
      <c r="H51" s="3" t="s">
        <v>71</v>
      </c>
      <c r="I51" s="5">
        <v>30.0</v>
      </c>
      <c r="J51" s="5">
        <v>37.0</v>
      </c>
      <c r="K51" s="5">
        <v>0.0</v>
      </c>
      <c r="L51" s="5">
        <v>2621208.0</v>
      </c>
      <c r="M51" s="5">
        <v>2621208.0</v>
      </c>
      <c r="N51" s="5">
        <v>2402093.0</v>
      </c>
      <c r="O51" s="5">
        <v>219115.0</v>
      </c>
      <c r="P51" s="5">
        <v>0.0</v>
      </c>
      <c r="Q51" s="5">
        <v>0.0</v>
      </c>
      <c r="R51" s="5">
        <v>0.0</v>
      </c>
      <c r="S51" s="3" t="s">
        <v>64</v>
      </c>
      <c r="T51" s="3" t="s">
        <v>64</v>
      </c>
      <c r="U51" s="3" t="s">
        <v>64</v>
      </c>
      <c r="V51" s="3" t="s">
        <v>64</v>
      </c>
      <c r="W51" s="3" t="s">
        <v>64</v>
      </c>
      <c r="X51" s="3" t="s">
        <v>64</v>
      </c>
      <c r="Y51" s="3" t="s">
        <v>64</v>
      </c>
      <c r="Z51" s="3" t="s">
        <v>64</v>
      </c>
      <c r="AA51" s="3" t="s">
        <v>64</v>
      </c>
      <c r="AB51" s="5">
        <v>190000.0</v>
      </c>
      <c r="AC51" s="3" t="s">
        <v>64</v>
      </c>
      <c r="AD51" s="3" t="s">
        <v>64</v>
      </c>
      <c r="AE51" s="3" t="s">
        <v>64</v>
      </c>
      <c r="AF51" s="5">
        <v>190000.0</v>
      </c>
      <c r="AG51" s="3" t="s">
        <v>64</v>
      </c>
      <c r="AH51" s="6">
        <v>3001208.0</v>
      </c>
      <c r="AI51" s="5">
        <v>277324.0</v>
      </c>
      <c r="AJ51" s="5">
        <v>0.0</v>
      </c>
      <c r="AK51" s="5">
        <v>183485.0</v>
      </c>
      <c r="AL51" s="5">
        <v>0.0</v>
      </c>
      <c r="AM51" s="5">
        <v>15727.0</v>
      </c>
      <c r="AN51" s="5">
        <v>47096.0</v>
      </c>
      <c r="AO51" s="5">
        <v>0.0</v>
      </c>
      <c r="AP51" s="3" t="s">
        <v>64</v>
      </c>
      <c r="AQ51" s="3" t="s">
        <v>64</v>
      </c>
      <c r="AR51" s="3" t="s">
        <v>64</v>
      </c>
      <c r="AS51" s="3" t="s">
        <v>64</v>
      </c>
      <c r="AT51" s="3" t="s">
        <v>64</v>
      </c>
      <c r="AU51" s="3" t="s">
        <v>64</v>
      </c>
      <c r="AV51" s="3" t="s">
        <v>64</v>
      </c>
      <c r="AW51" s="6">
        <v>523632.0</v>
      </c>
      <c r="AX51" s="6">
        <v>2477576.0</v>
      </c>
      <c r="AY51" s="6">
        <v>0.0</v>
      </c>
    </row>
    <row r="52">
      <c r="A52" s="3" t="s">
        <v>300</v>
      </c>
      <c r="B52" s="3" t="s">
        <v>58</v>
      </c>
      <c r="C52" s="3" t="s">
        <v>301</v>
      </c>
      <c r="D52" s="3" t="s">
        <v>302</v>
      </c>
      <c r="E52" s="3" t="s">
        <v>303</v>
      </c>
      <c r="F52" s="3" t="s">
        <v>304</v>
      </c>
      <c r="G52" s="3" t="s">
        <v>228</v>
      </c>
      <c r="H52" s="3" t="s">
        <v>64</v>
      </c>
      <c r="I52" s="5">
        <v>30.0</v>
      </c>
      <c r="J52" s="5">
        <v>42.0</v>
      </c>
      <c r="K52" s="5">
        <v>0.0</v>
      </c>
      <c r="L52" s="5">
        <v>3678639.0</v>
      </c>
      <c r="M52" s="5">
        <v>3752909.0</v>
      </c>
      <c r="N52" s="5">
        <v>3060461.0</v>
      </c>
      <c r="O52" s="5">
        <v>219115.0</v>
      </c>
      <c r="P52" s="5">
        <v>0.0</v>
      </c>
      <c r="Q52" s="5">
        <v>0.0</v>
      </c>
      <c r="R52" s="5">
        <v>0.0</v>
      </c>
      <c r="S52" s="3" t="s">
        <v>64</v>
      </c>
      <c r="T52" s="3" t="s">
        <v>64</v>
      </c>
      <c r="U52" s="3" t="s">
        <v>64</v>
      </c>
      <c r="V52" s="3" t="s">
        <v>64</v>
      </c>
      <c r="W52" s="3" t="s">
        <v>64</v>
      </c>
      <c r="X52" s="3" t="s">
        <v>64</v>
      </c>
      <c r="Y52" s="5">
        <v>100000.0</v>
      </c>
      <c r="Z52" s="3" t="s">
        <v>64</v>
      </c>
      <c r="AA52" s="5">
        <v>473333.0</v>
      </c>
      <c r="AB52" s="5">
        <v>387500.0</v>
      </c>
      <c r="AC52" s="3" t="s">
        <v>64</v>
      </c>
      <c r="AD52" s="3" t="s">
        <v>64</v>
      </c>
      <c r="AE52" s="3" t="s">
        <v>64</v>
      </c>
      <c r="AF52" s="5">
        <v>387500.0</v>
      </c>
      <c r="AG52" s="3" t="s">
        <v>64</v>
      </c>
      <c r="AH52" s="6">
        <v>4627909.0</v>
      </c>
      <c r="AI52" s="5">
        <v>389200.0</v>
      </c>
      <c r="AJ52" s="5">
        <v>0.0</v>
      </c>
      <c r="AK52" s="5">
        <v>257505.0</v>
      </c>
      <c r="AL52" s="5">
        <v>0.0</v>
      </c>
      <c r="AM52" s="5">
        <v>22517.0</v>
      </c>
      <c r="AN52" s="5">
        <v>122026.0</v>
      </c>
      <c r="AO52" s="5">
        <v>0.0</v>
      </c>
      <c r="AP52" s="3" t="s">
        <v>64</v>
      </c>
      <c r="AQ52" s="3" t="s">
        <v>64</v>
      </c>
      <c r="AR52" s="3" t="s">
        <v>64</v>
      </c>
      <c r="AS52" s="3" t="s">
        <v>64</v>
      </c>
      <c r="AT52" s="3" t="s">
        <v>64</v>
      </c>
      <c r="AU52" s="3" t="s">
        <v>64</v>
      </c>
      <c r="AV52" s="3" t="s">
        <v>64</v>
      </c>
      <c r="AW52" s="6">
        <v>791248.0</v>
      </c>
      <c r="AX52" s="6">
        <v>3836661.0</v>
      </c>
      <c r="AY52" s="6">
        <v>0.0</v>
      </c>
    </row>
    <row r="53">
      <c r="A53" s="3" t="s">
        <v>305</v>
      </c>
      <c r="B53" s="3" t="s">
        <v>58</v>
      </c>
      <c r="C53" s="3" t="s">
        <v>99</v>
      </c>
      <c r="D53" s="3" t="s">
        <v>306</v>
      </c>
      <c r="E53" s="3" t="s">
        <v>307</v>
      </c>
      <c r="F53" s="3" t="s">
        <v>308</v>
      </c>
      <c r="G53" s="3" t="s">
        <v>82</v>
      </c>
      <c r="H53" s="3" t="s">
        <v>71</v>
      </c>
      <c r="I53" s="5">
        <v>30.0</v>
      </c>
      <c r="J53" s="5">
        <v>42.0</v>
      </c>
      <c r="K53" s="5">
        <v>0.0</v>
      </c>
      <c r="L53" s="5">
        <v>1231897.0</v>
      </c>
      <c r="M53" s="5">
        <v>1231897.0</v>
      </c>
      <c r="N53" s="5">
        <v>1012782.0</v>
      </c>
      <c r="O53" s="5">
        <v>219115.0</v>
      </c>
      <c r="P53" s="5">
        <v>0.0</v>
      </c>
      <c r="Q53" s="5">
        <v>0.0</v>
      </c>
      <c r="R53" s="5">
        <v>0.0</v>
      </c>
      <c r="S53" s="3" t="s">
        <v>64</v>
      </c>
      <c r="T53" s="3" t="s">
        <v>64</v>
      </c>
      <c r="U53" s="5">
        <v>20000.0</v>
      </c>
      <c r="V53" s="3" t="s">
        <v>64</v>
      </c>
      <c r="W53" s="3" t="s">
        <v>64</v>
      </c>
      <c r="X53" s="3" t="s">
        <v>64</v>
      </c>
      <c r="Y53" s="3" t="s">
        <v>64</v>
      </c>
      <c r="Z53" s="3" t="s">
        <v>64</v>
      </c>
      <c r="AA53" s="3" t="s">
        <v>64</v>
      </c>
      <c r="AB53" s="3" t="s">
        <v>64</v>
      </c>
      <c r="AC53" s="3" t="s">
        <v>64</v>
      </c>
      <c r="AD53" s="3" t="s">
        <v>64</v>
      </c>
      <c r="AE53" s="3" t="s">
        <v>64</v>
      </c>
      <c r="AF53" s="3" t="s">
        <v>64</v>
      </c>
      <c r="AG53" s="3" t="s">
        <v>64</v>
      </c>
      <c r="AH53" s="6">
        <v>1251897.0</v>
      </c>
      <c r="AI53" s="5">
        <v>141052.0</v>
      </c>
      <c r="AJ53" s="5">
        <v>0.0</v>
      </c>
      <c r="AK53" s="5">
        <v>86233.0</v>
      </c>
      <c r="AL53" s="5">
        <v>0.0</v>
      </c>
      <c r="AM53" s="5">
        <v>7391.0</v>
      </c>
      <c r="AN53" s="5">
        <v>1198.0</v>
      </c>
      <c r="AO53" s="5">
        <v>0.0</v>
      </c>
      <c r="AP53" s="3" t="s">
        <v>64</v>
      </c>
      <c r="AQ53" s="5">
        <v>19800.0</v>
      </c>
      <c r="AR53" s="3" t="s">
        <v>64</v>
      </c>
      <c r="AS53" s="3" t="s">
        <v>64</v>
      </c>
      <c r="AT53" s="3" t="s">
        <v>64</v>
      </c>
      <c r="AU53" s="3" t="s">
        <v>64</v>
      </c>
      <c r="AV53" s="3" t="s">
        <v>64</v>
      </c>
      <c r="AW53" s="6">
        <v>255674.0</v>
      </c>
      <c r="AX53" s="6">
        <v>996223.0</v>
      </c>
      <c r="AY53" s="6">
        <v>0.0</v>
      </c>
    </row>
    <row r="54">
      <c r="A54" s="3" t="s">
        <v>309</v>
      </c>
      <c r="B54" s="3" t="s">
        <v>58</v>
      </c>
      <c r="C54" s="3" t="s">
        <v>310</v>
      </c>
      <c r="D54" s="3" t="s">
        <v>311</v>
      </c>
      <c r="E54" s="3" t="s">
        <v>312</v>
      </c>
      <c r="F54" s="3" t="s">
        <v>313</v>
      </c>
      <c r="G54" s="3" t="s">
        <v>63</v>
      </c>
      <c r="H54" s="3" t="s">
        <v>64</v>
      </c>
      <c r="I54" s="5">
        <v>30.0</v>
      </c>
      <c r="J54" s="5">
        <v>40.0</v>
      </c>
      <c r="K54" s="5">
        <v>0.0</v>
      </c>
      <c r="L54" s="5">
        <v>3058855.0</v>
      </c>
      <c r="M54" s="5">
        <v>3058855.0</v>
      </c>
      <c r="N54" s="5">
        <v>2366407.0</v>
      </c>
      <c r="O54" s="5">
        <v>219115.0</v>
      </c>
      <c r="P54" s="5">
        <v>0.0</v>
      </c>
      <c r="Q54" s="5">
        <v>0.0</v>
      </c>
      <c r="R54" s="5">
        <v>0.0</v>
      </c>
      <c r="S54" s="3" t="s">
        <v>64</v>
      </c>
      <c r="T54" s="3" t="s">
        <v>64</v>
      </c>
      <c r="U54" s="3" t="s">
        <v>64</v>
      </c>
      <c r="V54" s="3" t="s">
        <v>64</v>
      </c>
      <c r="W54" s="3" t="s">
        <v>64</v>
      </c>
      <c r="X54" s="3" t="s">
        <v>64</v>
      </c>
      <c r="Y54" s="5">
        <v>35000.0</v>
      </c>
      <c r="Z54" s="3" t="s">
        <v>64</v>
      </c>
      <c r="AA54" s="5">
        <v>473333.0</v>
      </c>
      <c r="AB54" s="5">
        <v>250000.0</v>
      </c>
      <c r="AC54" s="3" t="s">
        <v>64</v>
      </c>
      <c r="AD54" s="3" t="s">
        <v>64</v>
      </c>
      <c r="AE54" s="3" t="s">
        <v>64</v>
      </c>
      <c r="AF54" s="5">
        <v>215000.0</v>
      </c>
      <c r="AG54" s="3" t="s">
        <v>64</v>
      </c>
      <c r="AH54" s="6">
        <v>3558855.0</v>
      </c>
      <c r="AI54" s="5">
        <v>319956.0</v>
      </c>
      <c r="AJ54" s="5">
        <v>0.0</v>
      </c>
      <c r="AK54" s="5">
        <v>214120.0</v>
      </c>
      <c r="AL54" s="5">
        <v>0.0</v>
      </c>
      <c r="AM54" s="5">
        <v>18353.0</v>
      </c>
      <c r="AN54" s="5">
        <v>75845.0</v>
      </c>
      <c r="AO54" s="5">
        <v>0.0</v>
      </c>
      <c r="AP54" s="3" t="s">
        <v>64</v>
      </c>
      <c r="AQ54" s="3" t="s">
        <v>64</v>
      </c>
      <c r="AR54" s="3" t="s">
        <v>64</v>
      </c>
      <c r="AS54" s="5">
        <v>368400.0</v>
      </c>
      <c r="AT54" s="3" t="s">
        <v>64</v>
      </c>
      <c r="AU54" s="3" t="s">
        <v>64</v>
      </c>
      <c r="AV54" s="3" t="s">
        <v>64</v>
      </c>
      <c r="AW54" s="6">
        <v>996674.0</v>
      </c>
      <c r="AX54" s="6">
        <v>2562181.0</v>
      </c>
      <c r="AY54" s="6">
        <v>0.0</v>
      </c>
    </row>
    <row r="55">
      <c r="A55" s="3" t="s">
        <v>314</v>
      </c>
      <c r="B55" s="3" t="s">
        <v>58</v>
      </c>
      <c r="C55" s="3" t="s">
        <v>315</v>
      </c>
      <c r="D55" s="3" t="s">
        <v>316</v>
      </c>
      <c r="E55" s="3" t="s">
        <v>317</v>
      </c>
      <c r="F55" s="3" t="s">
        <v>69</v>
      </c>
      <c r="G55" s="3" t="s">
        <v>70</v>
      </c>
      <c r="H55" s="3" t="s">
        <v>71</v>
      </c>
      <c r="I55" s="5">
        <v>30.0</v>
      </c>
      <c r="J55" s="5">
        <v>40.0</v>
      </c>
      <c r="K55" s="5">
        <v>0.0</v>
      </c>
      <c r="L55" s="5">
        <v>2193260.0</v>
      </c>
      <c r="M55" s="5">
        <v>2193260.0</v>
      </c>
      <c r="N55" s="5">
        <v>1974145.0</v>
      </c>
      <c r="O55" s="5">
        <v>219115.0</v>
      </c>
      <c r="P55" s="5">
        <v>0.0</v>
      </c>
      <c r="Q55" s="5">
        <v>0.0</v>
      </c>
      <c r="R55" s="5">
        <v>0.0</v>
      </c>
      <c r="S55" s="3" t="s">
        <v>64</v>
      </c>
      <c r="T55" s="5">
        <v>350000.0</v>
      </c>
      <c r="U55" s="5">
        <v>25000.0</v>
      </c>
      <c r="V55" s="3" t="s">
        <v>64</v>
      </c>
      <c r="W55" s="3" t="s">
        <v>64</v>
      </c>
      <c r="X55" s="3" t="s">
        <v>64</v>
      </c>
      <c r="Y55" s="3" t="s">
        <v>64</v>
      </c>
      <c r="Z55" s="3" t="s">
        <v>64</v>
      </c>
      <c r="AA55" s="3" t="s">
        <v>64</v>
      </c>
      <c r="AB55" s="5">
        <v>165000.0</v>
      </c>
      <c r="AC55" s="3" t="s">
        <v>64</v>
      </c>
      <c r="AD55" s="3" t="s">
        <v>64</v>
      </c>
      <c r="AE55" s="3" t="s">
        <v>64</v>
      </c>
      <c r="AF55" s="5">
        <v>150000.0</v>
      </c>
      <c r="AG55" s="3" t="s">
        <v>64</v>
      </c>
      <c r="AH55" s="6">
        <v>2883260.0</v>
      </c>
      <c r="AI55" s="5">
        <v>250909.0</v>
      </c>
      <c r="AJ55" s="5">
        <v>0.0</v>
      </c>
      <c r="AK55" s="5">
        <v>153528.0</v>
      </c>
      <c r="AL55" s="5">
        <v>0.0</v>
      </c>
      <c r="AM55" s="5">
        <v>13160.0</v>
      </c>
      <c r="AN55" s="5">
        <v>32336.0</v>
      </c>
      <c r="AO55" s="5">
        <v>0.0</v>
      </c>
      <c r="AP55" s="3" t="s">
        <v>64</v>
      </c>
      <c r="AQ55" s="3" t="s">
        <v>64</v>
      </c>
      <c r="AR55" s="3" t="s">
        <v>64</v>
      </c>
      <c r="AS55" s="3" t="s">
        <v>64</v>
      </c>
      <c r="AT55" s="3" t="s">
        <v>64</v>
      </c>
      <c r="AU55" s="3" t="s">
        <v>64</v>
      </c>
      <c r="AV55" s="3" t="s">
        <v>64</v>
      </c>
      <c r="AW55" s="6">
        <v>449933.0</v>
      </c>
      <c r="AX55" s="6">
        <v>2433327.0</v>
      </c>
      <c r="AY55" s="6">
        <v>0.0</v>
      </c>
    </row>
    <row r="56">
      <c r="A56" s="3" t="s">
        <v>318</v>
      </c>
      <c r="B56" s="3" t="s">
        <v>58</v>
      </c>
      <c r="C56" s="3" t="s">
        <v>319</v>
      </c>
      <c r="D56" s="3" t="s">
        <v>320</v>
      </c>
      <c r="E56" s="3" t="s">
        <v>321</v>
      </c>
      <c r="F56" s="3" t="s">
        <v>261</v>
      </c>
      <c r="G56" s="3" t="s">
        <v>228</v>
      </c>
      <c r="H56" s="3" t="s">
        <v>64</v>
      </c>
      <c r="I56" s="5">
        <v>30.0</v>
      </c>
      <c r="J56" s="5">
        <v>42.0</v>
      </c>
      <c r="K56" s="5">
        <v>0.0</v>
      </c>
      <c r="L56" s="5">
        <v>3678639.0</v>
      </c>
      <c r="M56" s="5">
        <v>3768212.0</v>
      </c>
      <c r="N56" s="5">
        <v>3075764.0</v>
      </c>
      <c r="O56" s="5">
        <v>219115.0</v>
      </c>
      <c r="P56" s="5">
        <v>0.0</v>
      </c>
      <c r="Q56" s="5">
        <v>0.0</v>
      </c>
      <c r="R56" s="5">
        <v>0.0</v>
      </c>
      <c r="S56" s="3" t="s">
        <v>64</v>
      </c>
      <c r="T56" s="3" t="s">
        <v>64</v>
      </c>
      <c r="U56" s="3" t="s">
        <v>64</v>
      </c>
      <c r="V56" s="3" t="s">
        <v>64</v>
      </c>
      <c r="W56" s="3" t="s">
        <v>64</v>
      </c>
      <c r="X56" s="3" t="s">
        <v>64</v>
      </c>
      <c r="Y56" s="5">
        <v>100000.0</v>
      </c>
      <c r="Z56" s="3" t="s">
        <v>64</v>
      </c>
      <c r="AA56" s="5">
        <v>473333.0</v>
      </c>
      <c r="AB56" s="5">
        <v>387500.0</v>
      </c>
      <c r="AC56" s="3" t="s">
        <v>64</v>
      </c>
      <c r="AD56" s="3" t="s">
        <v>64</v>
      </c>
      <c r="AE56" s="3" t="s">
        <v>64</v>
      </c>
      <c r="AF56" s="5">
        <v>387500.0</v>
      </c>
      <c r="AG56" s="3" t="s">
        <v>64</v>
      </c>
      <c r="AH56" s="6">
        <v>4643212.0</v>
      </c>
      <c r="AI56" s="5">
        <v>414583.0</v>
      </c>
      <c r="AJ56" s="5">
        <v>0.0</v>
      </c>
      <c r="AK56" s="5">
        <v>257505.0</v>
      </c>
      <c r="AL56" s="5">
        <v>0.0</v>
      </c>
      <c r="AM56" s="5">
        <v>22609.0</v>
      </c>
      <c r="AN56" s="5">
        <v>121212.0</v>
      </c>
      <c r="AO56" s="5">
        <v>0.0</v>
      </c>
      <c r="AP56" s="3" t="s">
        <v>64</v>
      </c>
      <c r="AQ56" s="3" t="s">
        <v>64</v>
      </c>
      <c r="AR56" s="3" t="s">
        <v>64</v>
      </c>
      <c r="AS56" s="3" t="s">
        <v>64</v>
      </c>
      <c r="AT56" s="3" t="s">
        <v>64</v>
      </c>
      <c r="AU56" s="3" t="s">
        <v>64</v>
      </c>
      <c r="AV56" s="3" t="s">
        <v>64</v>
      </c>
      <c r="AW56" s="6">
        <v>815909.0</v>
      </c>
      <c r="AX56" s="6">
        <v>3827303.0</v>
      </c>
      <c r="AY56" s="6">
        <v>0.0</v>
      </c>
    </row>
    <row r="57">
      <c r="A57" s="3" t="s">
        <v>322</v>
      </c>
      <c r="B57" s="3" t="s">
        <v>58</v>
      </c>
      <c r="C57" s="3" t="s">
        <v>323</v>
      </c>
      <c r="D57" s="3" t="s">
        <v>324</v>
      </c>
      <c r="E57" s="3" t="s">
        <v>325</v>
      </c>
      <c r="F57" s="3" t="s">
        <v>326</v>
      </c>
      <c r="G57" s="3" t="s">
        <v>131</v>
      </c>
      <c r="H57" s="3" t="s">
        <v>71</v>
      </c>
      <c r="I57" s="5">
        <v>30.0</v>
      </c>
      <c r="J57" s="5">
        <v>40.0</v>
      </c>
      <c r="K57" s="5">
        <v>0.0</v>
      </c>
      <c r="L57" s="5">
        <v>3678639.0</v>
      </c>
      <c r="M57" s="5">
        <v>5526134.0</v>
      </c>
      <c r="N57" s="5">
        <v>5396846.0</v>
      </c>
      <c r="O57" s="5">
        <v>219115.0</v>
      </c>
      <c r="P57" s="5">
        <v>0.0</v>
      </c>
      <c r="Q57" s="5">
        <v>0.0</v>
      </c>
      <c r="R57" s="5">
        <v>0.0</v>
      </c>
      <c r="S57" s="3" t="s">
        <v>64</v>
      </c>
      <c r="T57" s="3" t="s">
        <v>64</v>
      </c>
      <c r="U57" s="3" t="s">
        <v>64</v>
      </c>
      <c r="V57" s="3" t="s">
        <v>64</v>
      </c>
      <c r="W57" s="3" t="s">
        <v>64</v>
      </c>
      <c r="X57" s="3" t="s">
        <v>64</v>
      </c>
      <c r="Y57" s="3" t="s">
        <v>64</v>
      </c>
      <c r="Z57" s="3" t="s">
        <v>64</v>
      </c>
      <c r="AA57" s="3" t="s">
        <v>64</v>
      </c>
      <c r="AB57" s="3" t="s">
        <v>64</v>
      </c>
      <c r="AC57" s="3" t="s">
        <v>64</v>
      </c>
      <c r="AD57" s="3" t="s">
        <v>64</v>
      </c>
      <c r="AE57" s="3" t="s">
        <v>64</v>
      </c>
      <c r="AF57" s="3" t="s">
        <v>64</v>
      </c>
      <c r="AG57" s="3" t="s">
        <v>64</v>
      </c>
      <c r="AH57" s="6">
        <v>5615961.0</v>
      </c>
      <c r="AI57" s="5">
        <v>414583.0</v>
      </c>
      <c r="AJ57" s="5">
        <v>0.0</v>
      </c>
      <c r="AK57" s="5">
        <v>257505.0</v>
      </c>
      <c r="AL57" s="5">
        <v>343585.0</v>
      </c>
      <c r="AM57" s="5">
        <v>33157.0</v>
      </c>
      <c r="AN57" s="5">
        <v>341243.0</v>
      </c>
      <c r="AO57" s="5">
        <v>0.0</v>
      </c>
      <c r="AP57" s="3" t="s">
        <v>64</v>
      </c>
      <c r="AQ57" s="3" t="s">
        <v>64</v>
      </c>
      <c r="AR57" s="3" t="s">
        <v>64</v>
      </c>
      <c r="AS57" s="3" t="s">
        <v>64</v>
      </c>
      <c r="AT57" s="3" t="s">
        <v>64</v>
      </c>
      <c r="AU57" s="3" t="s">
        <v>64</v>
      </c>
      <c r="AV57" s="3" t="s">
        <v>64</v>
      </c>
      <c r="AW57" s="6">
        <v>1390073.0</v>
      </c>
      <c r="AX57" s="6">
        <v>4225888.0</v>
      </c>
      <c r="AY57" s="6">
        <v>0.0</v>
      </c>
    </row>
    <row r="58">
      <c r="A58" s="3" t="s">
        <v>327</v>
      </c>
      <c r="B58" s="3" t="s">
        <v>58</v>
      </c>
      <c r="C58" s="3" t="s">
        <v>328</v>
      </c>
      <c r="D58" s="3" t="s">
        <v>166</v>
      </c>
      <c r="E58" s="3" t="s">
        <v>329</v>
      </c>
      <c r="F58" s="3" t="s">
        <v>330</v>
      </c>
      <c r="G58" s="3" t="s">
        <v>178</v>
      </c>
      <c r="H58" s="3" t="s">
        <v>71</v>
      </c>
      <c r="I58" s="5">
        <v>30.0</v>
      </c>
      <c r="J58" s="5">
        <v>42.0</v>
      </c>
      <c r="K58" s="5">
        <v>0.0</v>
      </c>
      <c r="L58" s="5">
        <v>3678639.0</v>
      </c>
      <c r="M58" s="5">
        <v>3773058.0</v>
      </c>
      <c r="N58" s="5">
        <v>3553943.0</v>
      </c>
      <c r="O58" s="5">
        <v>219115.0</v>
      </c>
      <c r="P58" s="5">
        <v>0.0</v>
      </c>
      <c r="Q58" s="5">
        <v>0.0</v>
      </c>
      <c r="R58" s="5">
        <v>0.0</v>
      </c>
      <c r="S58" s="3" t="s">
        <v>64</v>
      </c>
      <c r="T58" s="3" t="s">
        <v>64</v>
      </c>
      <c r="U58" s="3" t="s">
        <v>64</v>
      </c>
      <c r="V58" s="3" t="s">
        <v>64</v>
      </c>
      <c r="W58" s="3" t="s">
        <v>64</v>
      </c>
      <c r="X58" s="3" t="s">
        <v>64</v>
      </c>
      <c r="Y58" s="3" t="s">
        <v>64</v>
      </c>
      <c r="Z58" s="3" t="s">
        <v>64</v>
      </c>
      <c r="AA58" s="3" t="s">
        <v>64</v>
      </c>
      <c r="AB58" s="3" t="s">
        <v>64</v>
      </c>
      <c r="AC58" s="3" t="s">
        <v>64</v>
      </c>
      <c r="AD58" s="3" t="s">
        <v>64</v>
      </c>
      <c r="AE58" s="3" t="s">
        <v>64</v>
      </c>
      <c r="AF58" s="3" t="s">
        <v>64</v>
      </c>
      <c r="AG58" s="3" t="s">
        <v>64</v>
      </c>
      <c r="AH58" s="6">
        <v>3773058.0</v>
      </c>
      <c r="AI58" s="5">
        <v>389200.0</v>
      </c>
      <c r="AJ58" s="5">
        <v>0.0</v>
      </c>
      <c r="AK58" s="5">
        <v>257505.0</v>
      </c>
      <c r="AL58" s="5">
        <v>0.0</v>
      </c>
      <c r="AM58" s="5">
        <v>0.0</v>
      </c>
      <c r="AN58" s="5">
        <v>125439.0</v>
      </c>
      <c r="AO58" s="5">
        <v>0.0</v>
      </c>
      <c r="AP58" s="3" t="s">
        <v>64</v>
      </c>
      <c r="AQ58" s="3" t="s">
        <v>64</v>
      </c>
      <c r="AR58" s="3" t="s">
        <v>64</v>
      </c>
      <c r="AS58" s="3" t="s">
        <v>64</v>
      </c>
      <c r="AT58" s="3" t="s">
        <v>64</v>
      </c>
      <c r="AU58" s="3" t="s">
        <v>64</v>
      </c>
      <c r="AV58" s="3" t="s">
        <v>64</v>
      </c>
      <c r="AW58" s="6">
        <v>772144.0</v>
      </c>
      <c r="AX58" s="6">
        <v>3000914.0</v>
      </c>
      <c r="AY58" s="6">
        <v>0.0</v>
      </c>
    </row>
    <row r="59">
      <c r="A59" s="3" t="s">
        <v>331</v>
      </c>
      <c r="B59" s="3" t="s">
        <v>58</v>
      </c>
      <c r="C59" s="3" t="s">
        <v>332</v>
      </c>
      <c r="D59" s="3" t="s">
        <v>333</v>
      </c>
      <c r="E59" s="3" t="s">
        <v>334</v>
      </c>
      <c r="F59" s="3" t="s">
        <v>335</v>
      </c>
      <c r="G59" s="3" t="s">
        <v>173</v>
      </c>
      <c r="H59" s="3" t="s">
        <v>71</v>
      </c>
      <c r="I59" s="5">
        <v>30.0</v>
      </c>
      <c r="J59" s="5">
        <v>37.0</v>
      </c>
      <c r="K59" s="5">
        <v>0.0</v>
      </c>
      <c r="L59" s="5">
        <v>1687306.0</v>
      </c>
      <c r="M59" s="5">
        <v>1687306.0</v>
      </c>
      <c r="N59" s="5">
        <v>1468191.0</v>
      </c>
      <c r="O59" s="5">
        <v>219115.0</v>
      </c>
      <c r="P59" s="5">
        <v>0.0</v>
      </c>
      <c r="Q59" s="5">
        <v>0.0</v>
      </c>
      <c r="R59" s="5">
        <v>0.0</v>
      </c>
      <c r="S59" s="3" t="s">
        <v>64</v>
      </c>
      <c r="T59" s="3" t="s">
        <v>64</v>
      </c>
      <c r="U59" s="3" t="s">
        <v>64</v>
      </c>
      <c r="V59" s="3" t="s">
        <v>64</v>
      </c>
      <c r="W59" s="3" t="s">
        <v>64</v>
      </c>
      <c r="X59" s="3" t="s">
        <v>64</v>
      </c>
      <c r="Y59" s="3" t="s">
        <v>64</v>
      </c>
      <c r="Z59" s="3" t="s">
        <v>64</v>
      </c>
      <c r="AA59" s="3" t="s">
        <v>64</v>
      </c>
      <c r="AB59" s="5">
        <v>170000.0</v>
      </c>
      <c r="AC59" s="3" t="s">
        <v>64</v>
      </c>
      <c r="AD59" s="3" t="s">
        <v>64</v>
      </c>
      <c r="AE59" s="3" t="s">
        <v>64</v>
      </c>
      <c r="AF59" s="5">
        <v>170000.0</v>
      </c>
      <c r="AG59" s="3" t="s">
        <v>64</v>
      </c>
      <c r="AH59" s="6">
        <v>2027306.0</v>
      </c>
      <c r="AI59" s="5">
        <v>193028.0</v>
      </c>
      <c r="AJ59" s="5">
        <v>0.0</v>
      </c>
      <c r="AK59" s="5">
        <v>118111.0</v>
      </c>
      <c r="AL59" s="5">
        <v>0.0</v>
      </c>
      <c r="AM59" s="5">
        <v>10124.0</v>
      </c>
      <c r="AN59" s="5">
        <v>15951.0</v>
      </c>
      <c r="AO59" s="5">
        <v>0.0</v>
      </c>
      <c r="AP59" s="3" t="s">
        <v>64</v>
      </c>
      <c r="AQ59" s="3" t="s">
        <v>64</v>
      </c>
      <c r="AR59" s="3" t="s">
        <v>64</v>
      </c>
      <c r="AS59" s="3" t="s">
        <v>64</v>
      </c>
      <c r="AT59" s="3" t="s">
        <v>64</v>
      </c>
      <c r="AU59" s="3" t="s">
        <v>64</v>
      </c>
      <c r="AV59" s="3" t="s">
        <v>64</v>
      </c>
      <c r="AW59" s="6">
        <v>337214.0</v>
      </c>
      <c r="AX59" s="6">
        <v>1690092.0</v>
      </c>
      <c r="AY59" s="6">
        <v>0.0</v>
      </c>
    </row>
    <row r="60">
      <c r="A60" s="3" t="s">
        <v>336</v>
      </c>
      <c r="B60" s="3" t="s">
        <v>58</v>
      </c>
      <c r="C60" s="3" t="s">
        <v>337</v>
      </c>
      <c r="D60" s="3" t="s">
        <v>337</v>
      </c>
      <c r="E60" s="3" t="s">
        <v>338</v>
      </c>
      <c r="F60" s="3" t="s">
        <v>339</v>
      </c>
      <c r="G60" s="3" t="s">
        <v>213</v>
      </c>
      <c r="H60" s="3" t="s">
        <v>71</v>
      </c>
      <c r="I60" s="5">
        <v>30.0</v>
      </c>
      <c r="J60" s="5">
        <v>42.0</v>
      </c>
      <c r="K60" s="5">
        <v>0.0</v>
      </c>
      <c r="L60" s="5">
        <v>2309115.0</v>
      </c>
      <c r="M60" s="5">
        <v>2309115.0</v>
      </c>
      <c r="N60" s="5">
        <v>2090000.0</v>
      </c>
      <c r="O60" s="5">
        <v>219115.0</v>
      </c>
      <c r="P60" s="5">
        <v>0.0</v>
      </c>
      <c r="Q60" s="5">
        <v>0.0</v>
      </c>
      <c r="R60" s="5">
        <v>0.0</v>
      </c>
      <c r="S60" s="3" t="s">
        <v>64</v>
      </c>
      <c r="T60" s="3" t="s">
        <v>64</v>
      </c>
      <c r="U60" s="3" t="s">
        <v>64</v>
      </c>
      <c r="V60" s="3" t="s">
        <v>64</v>
      </c>
      <c r="W60" s="3" t="s">
        <v>64</v>
      </c>
      <c r="X60" s="3" t="s">
        <v>64</v>
      </c>
      <c r="Y60" s="5">
        <v>18550.0</v>
      </c>
      <c r="Z60" s="3" t="s">
        <v>64</v>
      </c>
      <c r="AA60" s="3" t="s">
        <v>64</v>
      </c>
      <c r="AB60" s="3" t="s">
        <v>64</v>
      </c>
      <c r="AC60" s="3" t="s">
        <v>64</v>
      </c>
      <c r="AD60" s="3" t="s">
        <v>64</v>
      </c>
      <c r="AE60" s="3" t="s">
        <v>64</v>
      </c>
      <c r="AF60" s="3" t="s">
        <v>64</v>
      </c>
      <c r="AG60" s="3" t="s">
        <v>64</v>
      </c>
      <c r="AH60" s="6">
        <v>2327665.0</v>
      </c>
      <c r="AI60" s="5">
        <v>264394.0</v>
      </c>
      <c r="AJ60" s="5">
        <v>0.0</v>
      </c>
      <c r="AK60" s="5">
        <v>161638.0</v>
      </c>
      <c r="AL60" s="5">
        <v>100894.0</v>
      </c>
      <c r="AM60" s="5">
        <v>13855.0</v>
      </c>
      <c r="AN60" s="5">
        <v>32244.0</v>
      </c>
      <c r="AO60" s="5">
        <v>0.0</v>
      </c>
      <c r="AP60" s="3" t="s">
        <v>64</v>
      </c>
      <c r="AQ60" s="3" t="s">
        <v>64</v>
      </c>
      <c r="AR60" s="3" t="s">
        <v>64</v>
      </c>
      <c r="AS60" s="5">
        <v>247037.0</v>
      </c>
      <c r="AT60" s="3" t="s">
        <v>64</v>
      </c>
      <c r="AU60" s="3" t="s">
        <v>64</v>
      </c>
      <c r="AV60" s="3" t="s">
        <v>64</v>
      </c>
      <c r="AW60" s="6">
        <v>820062.0</v>
      </c>
      <c r="AX60" s="6">
        <v>1507603.0</v>
      </c>
      <c r="AY60" s="6">
        <v>0.0</v>
      </c>
    </row>
    <row r="61">
      <c r="A61" s="3" t="s">
        <v>340</v>
      </c>
      <c r="B61" s="3" t="s">
        <v>58</v>
      </c>
      <c r="C61" s="3" t="s">
        <v>341</v>
      </c>
      <c r="D61" s="3" t="s">
        <v>342</v>
      </c>
      <c r="E61" s="3" t="s">
        <v>343</v>
      </c>
      <c r="F61" s="3" t="s">
        <v>274</v>
      </c>
      <c r="G61" s="3" t="s">
        <v>63</v>
      </c>
      <c r="H61" s="3" t="s">
        <v>64</v>
      </c>
      <c r="I61" s="5">
        <v>30.0</v>
      </c>
      <c r="J61" s="5">
        <v>40.0</v>
      </c>
      <c r="K61" s="5">
        <v>0.0</v>
      </c>
      <c r="L61" s="5">
        <v>3216633.0</v>
      </c>
      <c r="M61" s="5">
        <v>3216633.0</v>
      </c>
      <c r="N61" s="5">
        <v>2366407.0</v>
      </c>
      <c r="O61" s="5">
        <v>219115.0</v>
      </c>
      <c r="P61" s="5">
        <v>0.0</v>
      </c>
      <c r="Q61" s="5">
        <v>0.0</v>
      </c>
      <c r="R61" s="5">
        <v>0.0</v>
      </c>
      <c r="S61" s="3" t="s">
        <v>64</v>
      </c>
      <c r="T61" s="3" t="s">
        <v>64</v>
      </c>
      <c r="U61" s="3" t="s">
        <v>64</v>
      </c>
      <c r="V61" s="3" t="s">
        <v>64</v>
      </c>
      <c r="W61" s="3" t="s">
        <v>64</v>
      </c>
      <c r="X61" s="3" t="s">
        <v>64</v>
      </c>
      <c r="Y61" s="5">
        <v>35000.0</v>
      </c>
      <c r="Z61" s="3" t="s">
        <v>64</v>
      </c>
      <c r="AA61" s="5">
        <v>631111.0</v>
      </c>
      <c r="AB61" s="5">
        <v>250000.0</v>
      </c>
      <c r="AC61" s="3" t="s">
        <v>64</v>
      </c>
      <c r="AD61" s="3" t="s">
        <v>64</v>
      </c>
      <c r="AE61" s="3" t="s">
        <v>64</v>
      </c>
      <c r="AF61" s="5">
        <v>215000.0</v>
      </c>
      <c r="AG61" s="3" t="s">
        <v>64</v>
      </c>
      <c r="AH61" s="6">
        <v>3716633.0</v>
      </c>
      <c r="AI61" s="5">
        <v>340320.0</v>
      </c>
      <c r="AJ61" s="5">
        <v>0.0</v>
      </c>
      <c r="AK61" s="5">
        <v>225164.0</v>
      </c>
      <c r="AL61" s="5">
        <v>30297.0</v>
      </c>
      <c r="AM61" s="5">
        <v>19300.0</v>
      </c>
      <c r="AN61" s="5">
        <v>83455.0</v>
      </c>
      <c r="AO61" s="5">
        <v>0.0</v>
      </c>
      <c r="AP61" s="3" t="s">
        <v>64</v>
      </c>
      <c r="AQ61" s="3" t="s">
        <v>64</v>
      </c>
      <c r="AR61" s="3" t="s">
        <v>64</v>
      </c>
      <c r="AS61" s="3" t="s">
        <v>64</v>
      </c>
      <c r="AT61" s="3" t="s">
        <v>64</v>
      </c>
      <c r="AU61" s="3" t="s">
        <v>64</v>
      </c>
      <c r="AV61" s="3" t="s">
        <v>64</v>
      </c>
      <c r="AW61" s="6">
        <v>698536.0</v>
      </c>
      <c r="AX61" s="6">
        <v>3018097.0</v>
      </c>
      <c r="AY61" s="6">
        <v>0.0</v>
      </c>
    </row>
    <row r="62">
      <c r="A62" s="3" t="s">
        <v>344</v>
      </c>
      <c r="B62" s="3" t="s">
        <v>58</v>
      </c>
      <c r="C62" s="3" t="s">
        <v>341</v>
      </c>
      <c r="D62" s="3" t="s">
        <v>345</v>
      </c>
      <c r="E62" s="3" t="s">
        <v>346</v>
      </c>
      <c r="F62" s="3" t="s">
        <v>347</v>
      </c>
      <c r="G62" s="3" t="s">
        <v>178</v>
      </c>
      <c r="H62" s="3" t="s">
        <v>71</v>
      </c>
      <c r="I62" s="5">
        <v>30.0</v>
      </c>
      <c r="J62" s="5">
        <v>44.0</v>
      </c>
      <c r="K62" s="5">
        <v>0.0</v>
      </c>
      <c r="L62" s="5">
        <v>3678639.0</v>
      </c>
      <c r="M62" s="5">
        <v>5489373.0</v>
      </c>
      <c r="N62" s="5">
        <v>5270258.0</v>
      </c>
      <c r="O62" s="5">
        <v>219115.0</v>
      </c>
      <c r="P62" s="5">
        <v>0.0</v>
      </c>
      <c r="Q62" s="5">
        <v>0.0</v>
      </c>
      <c r="R62" s="5">
        <v>0.0</v>
      </c>
      <c r="S62" s="3" t="s">
        <v>64</v>
      </c>
      <c r="T62" s="3" t="s">
        <v>64</v>
      </c>
      <c r="U62" s="3" t="s">
        <v>64</v>
      </c>
      <c r="V62" s="3" t="s">
        <v>64</v>
      </c>
      <c r="W62" s="3" t="s">
        <v>64</v>
      </c>
      <c r="X62" s="3" t="s">
        <v>64</v>
      </c>
      <c r="Y62" s="3" t="s">
        <v>64</v>
      </c>
      <c r="Z62" s="3" t="s">
        <v>64</v>
      </c>
      <c r="AA62" s="3" t="s">
        <v>64</v>
      </c>
      <c r="AB62" s="3" t="s">
        <v>64</v>
      </c>
      <c r="AC62" s="3" t="s">
        <v>64</v>
      </c>
      <c r="AD62" s="3" t="s">
        <v>64</v>
      </c>
      <c r="AE62" s="3" t="s">
        <v>64</v>
      </c>
      <c r="AF62" s="3" t="s">
        <v>64</v>
      </c>
      <c r="AG62" s="3" t="s">
        <v>64</v>
      </c>
      <c r="AH62" s="6">
        <v>5489373.0</v>
      </c>
      <c r="AI62" s="5">
        <v>384786.0</v>
      </c>
      <c r="AJ62" s="5">
        <v>0.0</v>
      </c>
      <c r="AK62" s="5">
        <v>257505.0</v>
      </c>
      <c r="AL62" s="5">
        <v>0.0</v>
      </c>
      <c r="AM62" s="5">
        <v>32936.0</v>
      </c>
      <c r="AN62" s="5">
        <v>328206.0</v>
      </c>
      <c r="AO62" s="5">
        <v>0.0</v>
      </c>
      <c r="AP62" s="3" t="s">
        <v>64</v>
      </c>
      <c r="AQ62" s="3" t="s">
        <v>64</v>
      </c>
      <c r="AR62" s="3" t="s">
        <v>64</v>
      </c>
      <c r="AS62" s="3" t="s">
        <v>64</v>
      </c>
      <c r="AT62" s="3" t="s">
        <v>64</v>
      </c>
      <c r="AU62" s="3" t="s">
        <v>64</v>
      </c>
      <c r="AV62" s="3" t="s">
        <v>64</v>
      </c>
      <c r="AW62" s="6">
        <v>1003433.0</v>
      </c>
      <c r="AX62" s="6">
        <v>4485940.0</v>
      </c>
      <c r="AY62" s="6">
        <v>0.0</v>
      </c>
    </row>
    <row r="63">
      <c r="A63" s="3" t="s">
        <v>348</v>
      </c>
      <c r="B63" s="3" t="s">
        <v>58</v>
      </c>
      <c r="C63" s="3" t="s">
        <v>349</v>
      </c>
      <c r="D63" s="3" t="s">
        <v>350</v>
      </c>
      <c r="E63" s="3" t="s">
        <v>351</v>
      </c>
      <c r="F63" s="3" t="s">
        <v>352</v>
      </c>
      <c r="G63" s="3" t="s">
        <v>131</v>
      </c>
      <c r="H63" s="3" t="s">
        <v>71</v>
      </c>
      <c r="I63" s="5">
        <v>30.0</v>
      </c>
      <c r="J63" s="5">
        <v>42.0</v>
      </c>
      <c r="K63" s="5">
        <v>0.0</v>
      </c>
      <c r="L63" s="5">
        <v>3678639.0</v>
      </c>
      <c r="M63" s="5">
        <v>4680929.0</v>
      </c>
      <c r="N63" s="5">
        <v>4461814.0</v>
      </c>
      <c r="O63" s="5">
        <v>219115.0</v>
      </c>
      <c r="P63" s="5">
        <v>0.0</v>
      </c>
      <c r="Q63" s="5">
        <v>0.0</v>
      </c>
      <c r="R63" s="5">
        <v>0.0</v>
      </c>
      <c r="S63" s="3" t="s">
        <v>64</v>
      </c>
      <c r="T63" s="3" t="s">
        <v>64</v>
      </c>
      <c r="U63" s="3" t="s">
        <v>64</v>
      </c>
      <c r="V63" s="3" t="s">
        <v>64</v>
      </c>
      <c r="W63" s="3" t="s">
        <v>64</v>
      </c>
      <c r="X63" s="3" t="s">
        <v>64</v>
      </c>
      <c r="Y63" s="3" t="s">
        <v>64</v>
      </c>
      <c r="Z63" s="3" t="s">
        <v>64</v>
      </c>
      <c r="AA63" s="3" t="s">
        <v>64</v>
      </c>
      <c r="AB63" s="5">
        <v>250000.0</v>
      </c>
      <c r="AC63" s="3" t="s">
        <v>64</v>
      </c>
      <c r="AD63" s="3" t="s">
        <v>64</v>
      </c>
      <c r="AE63" s="3" t="s">
        <v>64</v>
      </c>
      <c r="AF63" s="5">
        <v>250000.0</v>
      </c>
      <c r="AG63" s="3" t="s">
        <v>64</v>
      </c>
      <c r="AH63" s="6">
        <v>5180929.0</v>
      </c>
      <c r="AI63" s="5">
        <v>414583.0</v>
      </c>
      <c r="AJ63" s="5">
        <v>0.0</v>
      </c>
      <c r="AK63" s="5">
        <v>257505.0</v>
      </c>
      <c r="AL63" s="5">
        <v>31881.0</v>
      </c>
      <c r="AM63" s="5">
        <v>28086.0</v>
      </c>
      <c r="AN63" s="5">
        <v>215698.0</v>
      </c>
      <c r="AO63" s="5">
        <v>0.0</v>
      </c>
      <c r="AP63" s="3" t="s">
        <v>64</v>
      </c>
      <c r="AQ63" s="3" t="s">
        <v>64</v>
      </c>
      <c r="AR63" s="3" t="s">
        <v>64</v>
      </c>
      <c r="AS63" s="3" t="s">
        <v>64</v>
      </c>
      <c r="AT63" s="3" t="s">
        <v>64</v>
      </c>
      <c r="AU63" s="3" t="s">
        <v>64</v>
      </c>
      <c r="AV63" s="3" t="s">
        <v>64</v>
      </c>
      <c r="AW63" s="6">
        <v>947753.0</v>
      </c>
      <c r="AX63" s="6">
        <v>4233176.0</v>
      </c>
      <c r="AY63" s="6">
        <v>0.0</v>
      </c>
    </row>
    <row r="64">
      <c r="A64" s="3" t="s">
        <v>353</v>
      </c>
      <c r="B64" s="3" t="s">
        <v>58</v>
      </c>
      <c r="C64" s="3" t="s">
        <v>349</v>
      </c>
      <c r="D64" s="3" t="s">
        <v>354</v>
      </c>
      <c r="E64" s="3" t="s">
        <v>355</v>
      </c>
      <c r="F64" s="3" t="s">
        <v>227</v>
      </c>
      <c r="G64" s="3" t="s">
        <v>228</v>
      </c>
      <c r="H64" s="3" t="s">
        <v>64</v>
      </c>
      <c r="I64" s="5">
        <v>30.0</v>
      </c>
      <c r="J64" s="5">
        <v>42.0</v>
      </c>
      <c r="K64" s="5">
        <v>0.0</v>
      </c>
      <c r="L64" s="5">
        <v>3049793.0</v>
      </c>
      <c r="M64" s="5">
        <v>3049793.0</v>
      </c>
      <c r="N64" s="5">
        <v>2357345.0</v>
      </c>
      <c r="O64" s="5">
        <v>219115.0</v>
      </c>
      <c r="P64" s="5">
        <v>0.0</v>
      </c>
      <c r="Q64" s="5">
        <v>0.0</v>
      </c>
      <c r="R64" s="5">
        <v>0.0</v>
      </c>
      <c r="S64" s="3" t="s">
        <v>64</v>
      </c>
      <c r="T64" s="3" t="s">
        <v>64</v>
      </c>
      <c r="U64" s="3" t="s">
        <v>64</v>
      </c>
      <c r="V64" s="3" t="s">
        <v>64</v>
      </c>
      <c r="W64" s="3" t="s">
        <v>64</v>
      </c>
      <c r="X64" s="3" t="s">
        <v>64</v>
      </c>
      <c r="Y64" s="5">
        <v>100000.0</v>
      </c>
      <c r="Z64" s="3" t="s">
        <v>64</v>
      </c>
      <c r="AA64" s="5">
        <v>473333.0</v>
      </c>
      <c r="AB64" s="5">
        <v>300000.0</v>
      </c>
      <c r="AC64" s="3" t="s">
        <v>64</v>
      </c>
      <c r="AD64" s="3" t="s">
        <v>64</v>
      </c>
      <c r="AE64" s="3" t="s">
        <v>64</v>
      </c>
      <c r="AF64" s="5">
        <v>300000.0</v>
      </c>
      <c r="AG64" s="3" t="s">
        <v>64</v>
      </c>
      <c r="AH64" s="6">
        <v>3749793.0</v>
      </c>
      <c r="AI64" s="5">
        <v>343712.0</v>
      </c>
      <c r="AJ64" s="5">
        <v>0.0</v>
      </c>
      <c r="AK64" s="5">
        <v>213486.0</v>
      </c>
      <c r="AL64" s="5">
        <v>0.0</v>
      </c>
      <c r="AM64" s="5">
        <v>18299.0</v>
      </c>
      <c r="AN64" s="5">
        <v>73274.0</v>
      </c>
      <c r="AO64" s="5">
        <v>0.0</v>
      </c>
      <c r="AP64" s="5">
        <v>780000.0</v>
      </c>
      <c r="AQ64" s="3" t="s">
        <v>64</v>
      </c>
      <c r="AR64" s="3" t="s">
        <v>64</v>
      </c>
      <c r="AS64" s="5">
        <v>79490.0</v>
      </c>
      <c r="AT64" s="3" t="s">
        <v>64</v>
      </c>
      <c r="AU64" s="3" t="s">
        <v>64</v>
      </c>
      <c r="AV64" s="3" t="s">
        <v>64</v>
      </c>
      <c r="AW64" s="6">
        <v>1508261.0</v>
      </c>
      <c r="AX64" s="6">
        <v>2241532.0</v>
      </c>
      <c r="AY64" s="6">
        <v>0.0</v>
      </c>
    </row>
    <row r="65">
      <c r="A65" s="3" t="s">
        <v>356</v>
      </c>
      <c r="B65" s="3" t="s">
        <v>58</v>
      </c>
      <c r="C65" s="3" t="s">
        <v>357</v>
      </c>
      <c r="D65" s="3" t="s">
        <v>200</v>
      </c>
      <c r="E65" s="3" t="s">
        <v>358</v>
      </c>
      <c r="F65" s="3" t="s">
        <v>177</v>
      </c>
      <c r="G65" s="3" t="s">
        <v>178</v>
      </c>
      <c r="H65" s="3" t="s">
        <v>71</v>
      </c>
      <c r="I65" s="5">
        <v>30.0</v>
      </c>
      <c r="J65" s="5">
        <v>40.0</v>
      </c>
      <c r="K65" s="5">
        <v>0.0</v>
      </c>
      <c r="L65" s="5">
        <v>3678639.0</v>
      </c>
      <c r="M65" s="5">
        <v>5142553.0</v>
      </c>
      <c r="N65" s="5">
        <v>4923438.0</v>
      </c>
      <c r="O65" s="5">
        <v>219115.0</v>
      </c>
      <c r="P65" s="5">
        <v>0.0</v>
      </c>
      <c r="Q65" s="5">
        <v>0.0</v>
      </c>
      <c r="R65" s="5">
        <v>0.0</v>
      </c>
      <c r="S65" s="3" t="s">
        <v>64</v>
      </c>
      <c r="T65" s="3" t="s">
        <v>64</v>
      </c>
      <c r="U65" s="3" t="s">
        <v>64</v>
      </c>
      <c r="V65" s="3" t="s">
        <v>64</v>
      </c>
      <c r="W65" s="3" t="s">
        <v>64</v>
      </c>
      <c r="X65" s="3" t="s">
        <v>64</v>
      </c>
      <c r="Y65" s="3" t="s">
        <v>64</v>
      </c>
      <c r="Z65" s="3" t="s">
        <v>64</v>
      </c>
      <c r="AA65" s="3" t="s">
        <v>64</v>
      </c>
      <c r="AB65" s="3" t="s">
        <v>64</v>
      </c>
      <c r="AC65" s="3" t="s">
        <v>64</v>
      </c>
      <c r="AD65" s="3" t="s">
        <v>64</v>
      </c>
      <c r="AE65" s="3" t="s">
        <v>64</v>
      </c>
      <c r="AF65" s="3" t="s">
        <v>64</v>
      </c>
      <c r="AG65" s="3" t="s">
        <v>64</v>
      </c>
      <c r="AH65" s="6">
        <v>5142553.0</v>
      </c>
      <c r="AI65" s="5">
        <v>420836.0</v>
      </c>
      <c r="AJ65" s="5">
        <v>0.0</v>
      </c>
      <c r="AK65" s="5">
        <v>257505.0</v>
      </c>
      <c r="AL65" s="5">
        <v>0.0</v>
      </c>
      <c r="AM65" s="5">
        <v>30855.0</v>
      </c>
      <c r="AN65" s="5">
        <v>276799.0</v>
      </c>
      <c r="AO65" s="5">
        <v>0.0</v>
      </c>
      <c r="AP65" s="3" t="s">
        <v>64</v>
      </c>
      <c r="AQ65" s="3" t="s">
        <v>64</v>
      </c>
      <c r="AR65" s="3" t="s">
        <v>64</v>
      </c>
      <c r="AS65" s="3" t="s">
        <v>64</v>
      </c>
      <c r="AT65" s="3" t="s">
        <v>64</v>
      </c>
      <c r="AU65" s="3" t="s">
        <v>64</v>
      </c>
      <c r="AV65" s="3" t="s">
        <v>64</v>
      </c>
      <c r="AW65" s="6">
        <v>985995.0</v>
      </c>
      <c r="AX65" s="6">
        <v>4156558.0</v>
      </c>
      <c r="AY65" s="6">
        <v>0.0</v>
      </c>
    </row>
    <row r="66">
      <c r="A66" s="3" t="s">
        <v>359</v>
      </c>
      <c r="B66" s="3" t="s">
        <v>58</v>
      </c>
      <c r="C66" s="3" t="s">
        <v>360</v>
      </c>
      <c r="D66" s="3" t="s">
        <v>161</v>
      </c>
      <c r="E66" s="3" t="s">
        <v>361</v>
      </c>
      <c r="F66" s="3" t="s">
        <v>362</v>
      </c>
      <c r="G66" s="3" t="s">
        <v>88</v>
      </c>
      <c r="H66" s="3" t="s">
        <v>71</v>
      </c>
      <c r="I66" s="5">
        <v>30.0</v>
      </c>
      <c r="J66" s="5">
        <v>44.0</v>
      </c>
      <c r="K66" s="5">
        <v>0.0</v>
      </c>
      <c r="L66" s="5">
        <v>3180336.0</v>
      </c>
      <c r="M66" s="5">
        <v>3180336.0</v>
      </c>
      <c r="N66" s="5">
        <v>2961221.0</v>
      </c>
      <c r="O66" s="5">
        <v>219115.0</v>
      </c>
      <c r="P66" s="5">
        <v>0.0</v>
      </c>
      <c r="Q66" s="5">
        <v>0.0</v>
      </c>
      <c r="R66" s="5">
        <v>0.0</v>
      </c>
      <c r="S66" s="3" t="s">
        <v>64</v>
      </c>
      <c r="T66" s="3" t="s">
        <v>64</v>
      </c>
      <c r="U66" s="3" t="s">
        <v>64</v>
      </c>
      <c r="V66" s="3" t="s">
        <v>64</v>
      </c>
      <c r="W66" s="3" t="s">
        <v>64</v>
      </c>
      <c r="X66" s="3" t="s">
        <v>64</v>
      </c>
      <c r="Y66" s="3" t="s">
        <v>64</v>
      </c>
      <c r="Z66" s="3" t="s">
        <v>64</v>
      </c>
      <c r="AA66" s="3" t="s">
        <v>64</v>
      </c>
      <c r="AB66" s="5">
        <v>200000.0</v>
      </c>
      <c r="AC66" s="3" t="s">
        <v>64</v>
      </c>
      <c r="AD66" s="3" t="s">
        <v>64</v>
      </c>
      <c r="AE66" s="3" t="s">
        <v>64</v>
      </c>
      <c r="AF66" s="5">
        <v>200000.0</v>
      </c>
      <c r="AG66" s="3" t="s">
        <v>64</v>
      </c>
      <c r="AH66" s="6">
        <v>3580336.0</v>
      </c>
      <c r="AI66" s="5">
        <v>363830.0</v>
      </c>
      <c r="AJ66" s="5">
        <v>0.0</v>
      </c>
      <c r="AK66" s="5">
        <v>222624.0</v>
      </c>
      <c r="AL66" s="5">
        <v>42974.0</v>
      </c>
      <c r="AM66" s="5">
        <v>19082.0</v>
      </c>
      <c r="AN66" s="5">
        <v>78524.0</v>
      </c>
      <c r="AO66" s="5">
        <v>0.0</v>
      </c>
      <c r="AP66" s="3" t="s">
        <v>64</v>
      </c>
      <c r="AQ66" s="3" t="s">
        <v>64</v>
      </c>
      <c r="AR66" s="3" t="s">
        <v>64</v>
      </c>
      <c r="AS66" s="3" t="s">
        <v>64</v>
      </c>
      <c r="AT66" s="3" t="s">
        <v>64</v>
      </c>
      <c r="AU66" s="3" t="s">
        <v>64</v>
      </c>
      <c r="AV66" s="3" t="s">
        <v>64</v>
      </c>
      <c r="AW66" s="6">
        <v>727034.0</v>
      </c>
      <c r="AX66" s="6">
        <v>2853302.0</v>
      </c>
      <c r="AY66" s="6">
        <v>0.0</v>
      </c>
    </row>
    <row r="67">
      <c r="A67" s="3" t="s">
        <v>363</v>
      </c>
      <c r="B67" s="3" t="s">
        <v>58</v>
      </c>
      <c r="C67" s="3" t="s">
        <v>364</v>
      </c>
      <c r="D67" s="3" t="s">
        <v>365</v>
      </c>
      <c r="E67" s="3" t="s">
        <v>366</v>
      </c>
      <c r="F67" s="3" t="s">
        <v>261</v>
      </c>
      <c r="G67" s="3" t="s">
        <v>228</v>
      </c>
      <c r="H67" s="3" t="s">
        <v>64</v>
      </c>
      <c r="I67" s="5">
        <v>30.0</v>
      </c>
      <c r="J67" s="5">
        <v>42.0</v>
      </c>
      <c r="K67" s="5">
        <v>0.0</v>
      </c>
      <c r="L67" s="5">
        <v>3678639.0</v>
      </c>
      <c r="M67" s="5">
        <v>3768212.0</v>
      </c>
      <c r="N67" s="5">
        <v>3075764.0</v>
      </c>
      <c r="O67" s="5">
        <v>219115.0</v>
      </c>
      <c r="P67" s="5">
        <v>0.0</v>
      </c>
      <c r="Q67" s="5">
        <v>0.0</v>
      </c>
      <c r="R67" s="5">
        <v>0.0</v>
      </c>
      <c r="S67" s="3" t="s">
        <v>64</v>
      </c>
      <c r="T67" s="3" t="s">
        <v>64</v>
      </c>
      <c r="U67" s="3" t="s">
        <v>64</v>
      </c>
      <c r="V67" s="3" t="s">
        <v>64</v>
      </c>
      <c r="W67" s="3" t="s">
        <v>64</v>
      </c>
      <c r="X67" s="3" t="s">
        <v>64</v>
      </c>
      <c r="Y67" s="5">
        <v>100000.0</v>
      </c>
      <c r="Z67" s="3" t="s">
        <v>64</v>
      </c>
      <c r="AA67" s="5">
        <v>473333.0</v>
      </c>
      <c r="AB67" s="5">
        <v>387500.0</v>
      </c>
      <c r="AC67" s="3" t="s">
        <v>64</v>
      </c>
      <c r="AD67" s="3" t="s">
        <v>64</v>
      </c>
      <c r="AE67" s="3" t="s">
        <v>64</v>
      </c>
      <c r="AF67" s="5">
        <v>387500.0</v>
      </c>
      <c r="AG67" s="3" t="s">
        <v>64</v>
      </c>
      <c r="AH67" s="6">
        <v>4643212.0</v>
      </c>
      <c r="AI67" s="5">
        <v>414583.0</v>
      </c>
      <c r="AJ67" s="5">
        <v>0.0</v>
      </c>
      <c r="AK67" s="5">
        <v>257505.0</v>
      </c>
      <c r="AL67" s="5">
        <v>0.0</v>
      </c>
      <c r="AM67" s="5">
        <v>22609.0</v>
      </c>
      <c r="AN67" s="5">
        <v>121212.0</v>
      </c>
      <c r="AO67" s="5">
        <v>0.0</v>
      </c>
      <c r="AP67" s="3" t="s">
        <v>64</v>
      </c>
      <c r="AQ67" s="3" t="s">
        <v>64</v>
      </c>
      <c r="AR67" s="3" t="s">
        <v>64</v>
      </c>
      <c r="AS67" s="3" t="s">
        <v>64</v>
      </c>
      <c r="AT67" s="3" t="s">
        <v>64</v>
      </c>
      <c r="AU67" s="3" t="s">
        <v>64</v>
      </c>
      <c r="AV67" s="3" t="s">
        <v>64</v>
      </c>
      <c r="AW67" s="6">
        <v>815909.0</v>
      </c>
      <c r="AX67" s="6">
        <v>3827303.0</v>
      </c>
      <c r="AY67" s="6">
        <v>0.0</v>
      </c>
    </row>
    <row r="68">
      <c r="A68" s="3" t="s">
        <v>367</v>
      </c>
      <c r="B68" s="3" t="s">
        <v>58</v>
      </c>
      <c r="C68" s="3" t="s">
        <v>368</v>
      </c>
      <c r="D68" s="3" t="s">
        <v>369</v>
      </c>
      <c r="E68" s="3" t="s">
        <v>370</v>
      </c>
      <c r="F68" s="3" t="s">
        <v>371</v>
      </c>
      <c r="G68" s="3" t="s">
        <v>178</v>
      </c>
      <c r="H68" s="3" t="s">
        <v>71</v>
      </c>
      <c r="I68" s="5">
        <v>30.0</v>
      </c>
      <c r="J68" s="5">
        <v>42.0</v>
      </c>
      <c r="K68" s="5">
        <v>0.0</v>
      </c>
      <c r="L68" s="5">
        <v>3161565.0</v>
      </c>
      <c r="M68" s="5">
        <v>3161565.0</v>
      </c>
      <c r="N68" s="5">
        <v>2942450.0</v>
      </c>
      <c r="O68" s="5">
        <v>219115.0</v>
      </c>
      <c r="P68" s="5">
        <v>0.0</v>
      </c>
      <c r="Q68" s="5">
        <v>0.0</v>
      </c>
      <c r="R68" s="5">
        <v>0.0</v>
      </c>
      <c r="S68" s="3" t="s">
        <v>64</v>
      </c>
      <c r="T68" s="3" t="s">
        <v>64</v>
      </c>
      <c r="U68" s="3" t="s">
        <v>64</v>
      </c>
      <c r="V68" s="3" t="s">
        <v>64</v>
      </c>
      <c r="W68" s="3" t="s">
        <v>64</v>
      </c>
      <c r="X68" s="3" t="s">
        <v>64</v>
      </c>
      <c r="Y68" s="3" t="s">
        <v>64</v>
      </c>
      <c r="Z68" s="3" t="s">
        <v>64</v>
      </c>
      <c r="AA68" s="3" t="s">
        <v>64</v>
      </c>
      <c r="AB68" s="3" t="s">
        <v>64</v>
      </c>
      <c r="AC68" s="3" t="s">
        <v>64</v>
      </c>
      <c r="AD68" s="3" t="s">
        <v>64</v>
      </c>
      <c r="AE68" s="3" t="s">
        <v>64</v>
      </c>
      <c r="AF68" s="3" t="s">
        <v>64</v>
      </c>
      <c r="AG68" s="3" t="s">
        <v>64</v>
      </c>
      <c r="AH68" s="6">
        <v>3161565.0</v>
      </c>
      <c r="AI68" s="5">
        <v>330700.0</v>
      </c>
      <c r="AJ68" s="5">
        <v>0.0</v>
      </c>
      <c r="AK68" s="5">
        <v>221310.0</v>
      </c>
      <c r="AL68" s="5">
        <v>0.0</v>
      </c>
      <c r="AM68" s="5">
        <v>0.0</v>
      </c>
      <c r="AN68" s="5">
        <v>84095.0</v>
      </c>
      <c r="AO68" s="5">
        <v>0.0</v>
      </c>
      <c r="AP68" s="3" t="s">
        <v>64</v>
      </c>
      <c r="AQ68" s="3" t="s">
        <v>64</v>
      </c>
      <c r="AR68" s="3" t="s">
        <v>64</v>
      </c>
      <c r="AS68" s="3" t="s">
        <v>64</v>
      </c>
      <c r="AT68" s="3" t="s">
        <v>64</v>
      </c>
      <c r="AU68" s="3" t="s">
        <v>64</v>
      </c>
      <c r="AV68" s="3" t="s">
        <v>64</v>
      </c>
      <c r="AW68" s="6">
        <v>636105.0</v>
      </c>
      <c r="AX68" s="6">
        <v>2525460.0</v>
      </c>
      <c r="AY68" s="6">
        <v>0.0</v>
      </c>
    </row>
    <row r="69">
      <c r="A69" s="3" t="s">
        <v>372</v>
      </c>
      <c r="B69" s="3" t="s">
        <v>58</v>
      </c>
      <c r="C69" s="3" t="s">
        <v>373</v>
      </c>
      <c r="D69" s="3" t="s">
        <v>374</v>
      </c>
      <c r="E69" s="3" t="s">
        <v>375</v>
      </c>
      <c r="F69" s="3" t="s">
        <v>376</v>
      </c>
      <c r="G69" s="3" t="s">
        <v>178</v>
      </c>
      <c r="H69" s="3" t="s">
        <v>71</v>
      </c>
      <c r="I69" s="5">
        <v>30.0</v>
      </c>
      <c r="J69" s="5">
        <v>60.0</v>
      </c>
      <c r="K69" s="5">
        <v>0.0</v>
      </c>
      <c r="L69" s="5">
        <v>3678639.0</v>
      </c>
      <c r="M69" s="5">
        <v>3778030.0</v>
      </c>
      <c r="N69" s="5">
        <v>3558915.0</v>
      </c>
      <c r="O69" s="5">
        <v>219115.0</v>
      </c>
      <c r="P69" s="5">
        <v>0.0</v>
      </c>
      <c r="Q69" s="5">
        <v>0.0</v>
      </c>
      <c r="R69" s="5">
        <v>0.0</v>
      </c>
      <c r="S69" s="3" t="s">
        <v>64</v>
      </c>
      <c r="T69" s="3" t="s">
        <v>64</v>
      </c>
      <c r="U69" s="3" t="s">
        <v>64</v>
      </c>
      <c r="V69" s="3" t="s">
        <v>64</v>
      </c>
      <c r="W69" s="3" t="s">
        <v>64</v>
      </c>
      <c r="X69" s="3" t="s">
        <v>64</v>
      </c>
      <c r="Y69" s="3" t="s">
        <v>64</v>
      </c>
      <c r="Z69" s="3" t="s">
        <v>64</v>
      </c>
      <c r="AA69" s="3" t="s">
        <v>64</v>
      </c>
      <c r="AB69" s="3" t="s">
        <v>64</v>
      </c>
      <c r="AC69" s="3" t="s">
        <v>64</v>
      </c>
      <c r="AD69" s="3" t="s">
        <v>64</v>
      </c>
      <c r="AE69" s="3" t="s">
        <v>64</v>
      </c>
      <c r="AF69" s="3" t="s">
        <v>64</v>
      </c>
      <c r="AG69" s="3" t="s">
        <v>64</v>
      </c>
      <c r="AH69" s="6">
        <v>3778030.0</v>
      </c>
      <c r="AI69" s="5">
        <v>384786.0</v>
      </c>
      <c r="AJ69" s="5">
        <v>0.0</v>
      </c>
      <c r="AK69" s="5">
        <v>257505.0</v>
      </c>
      <c r="AL69" s="5">
        <v>0.0</v>
      </c>
      <c r="AM69" s="5">
        <v>22668.0</v>
      </c>
      <c r="AN69" s="5">
        <v>124376.0</v>
      </c>
      <c r="AO69" s="5">
        <v>0.0</v>
      </c>
      <c r="AP69" s="3" t="s">
        <v>64</v>
      </c>
      <c r="AQ69" s="3" t="s">
        <v>64</v>
      </c>
      <c r="AR69" s="3" t="s">
        <v>64</v>
      </c>
      <c r="AS69" s="3" t="s">
        <v>64</v>
      </c>
      <c r="AT69" s="3" t="s">
        <v>64</v>
      </c>
      <c r="AU69" s="3" t="s">
        <v>64</v>
      </c>
      <c r="AV69" s="3" t="s">
        <v>64</v>
      </c>
      <c r="AW69" s="6">
        <v>789335.0</v>
      </c>
      <c r="AX69" s="6">
        <v>2988695.0</v>
      </c>
      <c r="AY69" s="6">
        <v>0.0</v>
      </c>
    </row>
    <row r="70">
      <c r="A70" s="3" t="s">
        <v>377</v>
      </c>
      <c r="B70" s="3" t="s">
        <v>58</v>
      </c>
      <c r="C70" s="3" t="s">
        <v>378</v>
      </c>
      <c r="D70" s="3" t="s">
        <v>379</v>
      </c>
      <c r="E70" s="3" t="s">
        <v>361</v>
      </c>
      <c r="F70" s="3" t="s">
        <v>380</v>
      </c>
      <c r="G70" s="3" t="s">
        <v>228</v>
      </c>
      <c r="H70" s="3" t="s">
        <v>64</v>
      </c>
      <c r="I70" s="5">
        <v>30.0</v>
      </c>
      <c r="J70" s="5">
        <v>42.0</v>
      </c>
      <c r="K70" s="5">
        <v>0.0</v>
      </c>
      <c r="L70" s="5">
        <v>2853558.0</v>
      </c>
      <c r="M70" s="5">
        <v>2853558.0</v>
      </c>
      <c r="N70" s="5">
        <v>2634443.0</v>
      </c>
      <c r="O70" s="5">
        <v>219115.0</v>
      </c>
      <c r="P70" s="5">
        <v>0.0</v>
      </c>
      <c r="Q70" s="5">
        <v>0.0</v>
      </c>
      <c r="R70" s="5">
        <v>0.0</v>
      </c>
      <c r="S70" s="3" t="s">
        <v>64</v>
      </c>
      <c r="T70" s="3" t="s">
        <v>64</v>
      </c>
      <c r="U70" s="3" t="s">
        <v>64</v>
      </c>
      <c r="V70" s="3" t="s">
        <v>64</v>
      </c>
      <c r="W70" s="3" t="s">
        <v>64</v>
      </c>
      <c r="X70" s="3" t="s">
        <v>64</v>
      </c>
      <c r="Y70" s="5">
        <v>100000.0</v>
      </c>
      <c r="Z70" s="3" t="s">
        <v>64</v>
      </c>
      <c r="AA70" s="3" t="s">
        <v>64</v>
      </c>
      <c r="AB70" s="5">
        <v>325000.0</v>
      </c>
      <c r="AC70" s="3" t="s">
        <v>64</v>
      </c>
      <c r="AD70" s="3" t="s">
        <v>64</v>
      </c>
      <c r="AE70" s="3" t="s">
        <v>64</v>
      </c>
      <c r="AF70" s="5">
        <v>325000.0</v>
      </c>
      <c r="AG70" s="3" t="s">
        <v>64</v>
      </c>
      <c r="AH70" s="6">
        <v>3603558.0</v>
      </c>
      <c r="AI70" s="5">
        <v>326447.0</v>
      </c>
      <c r="AJ70" s="5">
        <v>0.0</v>
      </c>
      <c r="AK70" s="5">
        <v>199749.0</v>
      </c>
      <c r="AL70" s="5">
        <v>0.0</v>
      </c>
      <c r="AM70" s="5">
        <v>17121.0</v>
      </c>
      <c r="AN70" s="5">
        <v>60150.0</v>
      </c>
      <c r="AO70" s="5">
        <v>0.0</v>
      </c>
      <c r="AP70" s="5">
        <v>250000.0</v>
      </c>
      <c r="AQ70" s="3" t="s">
        <v>64</v>
      </c>
      <c r="AR70" s="3" t="s">
        <v>64</v>
      </c>
      <c r="AS70" s="5">
        <v>186501.0</v>
      </c>
      <c r="AT70" s="3" t="s">
        <v>64</v>
      </c>
      <c r="AU70" s="3" t="s">
        <v>64</v>
      </c>
      <c r="AV70" s="5">
        <v>17972.0</v>
      </c>
      <c r="AW70" s="6">
        <v>1057940.0</v>
      </c>
      <c r="AX70" s="6">
        <v>2545618.0</v>
      </c>
      <c r="AY70" s="6">
        <v>0.0</v>
      </c>
    </row>
    <row r="71">
      <c r="A71" s="3" t="s">
        <v>381</v>
      </c>
      <c r="B71" s="3" t="s">
        <v>58</v>
      </c>
      <c r="C71" s="3" t="s">
        <v>382</v>
      </c>
      <c r="D71" s="3" t="s">
        <v>319</v>
      </c>
      <c r="E71" s="3" t="s">
        <v>383</v>
      </c>
      <c r="F71" s="3" t="s">
        <v>279</v>
      </c>
      <c r="G71" s="3" t="s">
        <v>173</v>
      </c>
      <c r="H71" s="3" t="s">
        <v>71</v>
      </c>
      <c r="I71" s="5">
        <v>30.0</v>
      </c>
      <c r="J71" s="5">
        <v>37.0</v>
      </c>
      <c r="K71" s="5">
        <v>0.0</v>
      </c>
      <c r="L71" s="5">
        <v>2501208.0</v>
      </c>
      <c r="M71" s="5">
        <v>2501208.0</v>
      </c>
      <c r="N71" s="5">
        <v>2282093.0</v>
      </c>
      <c r="O71" s="5">
        <v>219115.0</v>
      </c>
      <c r="P71" s="5">
        <v>0.0</v>
      </c>
      <c r="Q71" s="5">
        <v>0.0</v>
      </c>
      <c r="R71" s="5">
        <v>0.0</v>
      </c>
      <c r="S71" s="3" t="s">
        <v>64</v>
      </c>
      <c r="T71" s="3" t="s">
        <v>64</v>
      </c>
      <c r="U71" s="3" t="s">
        <v>64</v>
      </c>
      <c r="V71" s="3" t="s">
        <v>64</v>
      </c>
      <c r="W71" s="3" t="s">
        <v>64</v>
      </c>
      <c r="X71" s="3" t="s">
        <v>64</v>
      </c>
      <c r="Y71" s="3" t="s">
        <v>64</v>
      </c>
      <c r="Z71" s="3" t="s">
        <v>64</v>
      </c>
      <c r="AA71" s="3" t="s">
        <v>64</v>
      </c>
      <c r="AB71" s="5">
        <v>250000.0</v>
      </c>
      <c r="AC71" s="3" t="s">
        <v>64</v>
      </c>
      <c r="AD71" s="3" t="s">
        <v>64</v>
      </c>
      <c r="AE71" s="3" t="s">
        <v>64</v>
      </c>
      <c r="AF71" s="5">
        <v>250000.0</v>
      </c>
      <c r="AG71" s="3" t="s">
        <v>64</v>
      </c>
      <c r="AH71" s="6">
        <v>3001208.0</v>
      </c>
      <c r="AI71" s="5">
        <v>264628.0</v>
      </c>
      <c r="AJ71" s="5">
        <v>0.0</v>
      </c>
      <c r="AK71" s="5">
        <v>175085.0</v>
      </c>
      <c r="AL71" s="5">
        <v>0.0</v>
      </c>
      <c r="AM71" s="5">
        <v>15007.0</v>
      </c>
      <c r="AN71" s="5">
        <v>43169.0</v>
      </c>
      <c r="AO71" s="5">
        <v>0.0</v>
      </c>
      <c r="AP71" s="3" t="s">
        <v>64</v>
      </c>
      <c r="AQ71" s="3" t="s">
        <v>64</v>
      </c>
      <c r="AR71" s="3" t="s">
        <v>64</v>
      </c>
      <c r="AS71" s="3" t="s">
        <v>64</v>
      </c>
      <c r="AT71" s="3" t="s">
        <v>64</v>
      </c>
      <c r="AU71" s="3" t="s">
        <v>64</v>
      </c>
      <c r="AV71" s="5">
        <v>20667.0</v>
      </c>
      <c r="AW71" s="6">
        <v>518556.0</v>
      </c>
      <c r="AX71" s="6">
        <v>2482652.0</v>
      </c>
      <c r="AY71" s="6">
        <v>0.0</v>
      </c>
    </row>
    <row r="72">
      <c r="A72" s="3" t="s">
        <v>384</v>
      </c>
      <c r="B72" s="3" t="s">
        <v>58</v>
      </c>
      <c r="C72" s="3" t="s">
        <v>385</v>
      </c>
      <c r="D72" s="3" t="s">
        <v>386</v>
      </c>
      <c r="E72" s="3" t="s">
        <v>387</v>
      </c>
      <c r="F72" s="3" t="s">
        <v>388</v>
      </c>
      <c r="G72" s="3" t="s">
        <v>125</v>
      </c>
      <c r="H72" s="3" t="s">
        <v>71</v>
      </c>
      <c r="I72" s="5">
        <v>29.0</v>
      </c>
      <c r="J72" s="5">
        <v>42.0</v>
      </c>
      <c r="K72" s="5">
        <v>0.0</v>
      </c>
      <c r="L72" s="5">
        <v>3235971.0</v>
      </c>
      <c r="M72" s="5">
        <v>3235971.0</v>
      </c>
      <c r="N72" s="5">
        <v>3016856.0</v>
      </c>
      <c r="O72" s="5">
        <v>219115.0</v>
      </c>
      <c r="P72" s="5">
        <v>0.0</v>
      </c>
      <c r="Q72" s="5">
        <v>0.0</v>
      </c>
      <c r="R72" s="5">
        <v>0.0</v>
      </c>
      <c r="S72" s="3" t="s">
        <v>64</v>
      </c>
      <c r="T72" s="3" t="s">
        <v>64</v>
      </c>
      <c r="U72" s="3" t="s">
        <v>64</v>
      </c>
      <c r="V72" s="3" t="s">
        <v>64</v>
      </c>
      <c r="W72" s="3" t="s">
        <v>64</v>
      </c>
      <c r="X72" s="3" t="s">
        <v>64</v>
      </c>
      <c r="Y72" s="3" t="s">
        <v>64</v>
      </c>
      <c r="Z72" s="3" t="s">
        <v>64</v>
      </c>
      <c r="AA72" s="3" t="s">
        <v>64</v>
      </c>
      <c r="AB72" s="3" t="s">
        <v>64</v>
      </c>
      <c r="AC72" s="3" t="s">
        <v>64</v>
      </c>
      <c r="AD72" s="3" t="s">
        <v>64</v>
      </c>
      <c r="AE72" s="3" t="s">
        <v>64</v>
      </c>
      <c r="AF72" s="3" t="s">
        <v>64</v>
      </c>
      <c r="AG72" s="3" t="s">
        <v>64</v>
      </c>
      <c r="AH72" s="6">
        <v>3235971.0</v>
      </c>
      <c r="AI72" s="5">
        <v>364694.0</v>
      </c>
      <c r="AJ72" s="5">
        <v>0.0</v>
      </c>
      <c r="AK72" s="5">
        <v>226518.0</v>
      </c>
      <c r="AL72" s="5">
        <v>0.0</v>
      </c>
      <c r="AM72" s="5">
        <v>19416.0</v>
      </c>
      <c r="AN72" s="5">
        <v>85358.0</v>
      </c>
      <c r="AO72" s="5">
        <v>0.0</v>
      </c>
      <c r="AP72" s="3" t="s">
        <v>64</v>
      </c>
      <c r="AQ72" s="3" t="s">
        <v>64</v>
      </c>
      <c r="AR72" s="3" t="s">
        <v>64</v>
      </c>
      <c r="AS72" s="3" t="s">
        <v>64</v>
      </c>
      <c r="AT72" s="3" t="s">
        <v>64</v>
      </c>
      <c r="AU72" s="3" t="s">
        <v>64</v>
      </c>
      <c r="AV72" s="3" t="s">
        <v>64</v>
      </c>
      <c r="AW72" s="6">
        <v>695986.0</v>
      </c>
      <c r="AX72" s="6">
        <v>2539985.0</v>
      </c>
      <c r="AY72" s="6">
        <v>0.0</v>
      </c>
    </row>
    <row r="73">
      <c r="A73" s="3" t="s">
        <v>389</v>
      </c>
      <c r="B73" s="3" t="s">
        <v>58</v>
      </c>
      <c r="C73" s="3" t="s">
        <v>390</v>
      </c>
      <c r="D73" s="3" t="s">
        <v>391</v>
      </c>
      <c r="E73" s="3" t="s">
        <v>392</v>
      </c>
      <c r="F73" s="3" t="s">
        <v>393</v>
      </c>
      <c r="G73" s="3" t="s">
        <v>173</v>
      </c>
      <c r="H73" s="3" t="s">
        <v>71</v>
      </c>
      <c r="I73" s="5">
        <v>30.0</v>
      </c>
      <c r="J73" s="5">
        <v>36.0</v>
      </c>
      <c r="K73" s="5">
        <v>0.0</v>
      </c>
      <c r="L73" s="5">
        <v>2399470.0</v>
      </c>
      <c r="M73" s="5">
        <v>2399470.0</v>
      </c>
      <c r="N73" s="5">
        <v>2180355.0</v>
      </c>
      <c r="O73" s="5">
        <v>219115.0</v>
      </c>
      <c r="P73" s="5">
        <v>0.0</v>
      </c>
      <c r="Q73" s="5">
        <v>0.0</v>
      </c>
      <c r="R73" s="5">
        <v>0.0</v>
      </c>
      <c r="S73" s="3" t="s">
        <v>64</v>
      </c>
      <c r="T73" s="3" t="s">
        <v>64</v>
      </c>
      <c r="U73" s="3" t="s">
        <v>64</v>
      </c>
      <c r="V73" s="3" t="s">
        <v>64</v>
      </c>
      <c r="W73" s="3" t="s">
        <v>64</v>
      </c>
      <c r="X73" s="3" t="s">
        <v>64</v>
      </c>
      <c r="Y73" s="3" t="s">
        <v>64</v>
      </c>
      <c r="Z73" s="3" t="s">
        <v>64</v>
      </c>
      <c r="AA73" s="3" t="s">
        <v>64</v>
      </c>
      <c r="AB73" s="5">
        <v>240000.0</v>
      </c>
      <c r="AC73" s="3" t="s">
        <v>64</v>
      </c>
      <c r="AD73" s="3" t="s">
        <v>64</v>
      </c>
      <c r="AE73" s="3" t="s">
        <v>64</v>
      </c>
      <c r="AF73" s="5">
        <v>240000.0</v>
      </c>
      <c r="AG73" s="3" t="s">
        <v>64</v>
      </c>
      <c r="AH73" s="6">
        <v>2879470.0</v>
      </c>
      <c r="AI73" s="5">
        <v>274499.0</v>
      </c>
      <c r="AJ73" s="5">
        <v>0.0</v>
      </c>
      <c r="AK73" s="5">
        <v>167963.0</v>
      </c>
      <c r="AL73" s="5">
        <v>0.0</v>
      </c>
      <c r="AM73" s="5">
        <v>0.0</v>
      </c>
      <c r="AN73" s="5">
        <v>39590.0</v>
      </c>
      <c r="AO73" s="5">
        <v>0.0</v>
      </c>
      <c r="AP73" s="3" t="s">
        <v>64</v>
      </c>
      <c r="AQ73" s="3" t="s">
        <v>64</v>
      </c>
      <c r="AR73" s="3" t="s">
        <v>64</v>
      </c>
      <c r="AS73" s="3" t="s">
        <v>64</v>
      </c>
      <c r="AT73" s="3" t="s">
        <v>64</v>
      </c>
      <c r="AU73" s="3" t="s">
        <v>64</v>
      </c>
      <c r="AV73" s="3" t="s">
        <v>64</v>
      </c>
      <c r="AW73" s="6">
        <v>482052.0</v>
      </c>
      <c r="AX73" s="6">
        <v>2397418.0</v>
      </c>
      <c r="AY73" s="6">
        <v>0.0</v>
      </c>
    </row>
    <row r="74">
      <c r="A74" s="3" t="s">
        <v>394</v>
      </c>
      <c r="B74" s="3" t="s">
        <v>58</v>
      </c>
      <c r="C74" s="3" t="s">
        <v>395</v>
      </c>
      <c r="D74" s="3" t="s">
        <v>396</v>
      </c>
      <c r="E74" s="3" t="s">
        <v>397</v>
      </c>
      <c r="F74" s="3" t="s">
        <v>398</v>
      </c>
      <c r="G74" s="3" t="s">
        <v>131</v>
      </c>
      <c r="H74" s="3" t="s">
        <v>71</v>
      </c>
      <c r="I74" s="5">
        <v>30.0</v>
      </c>
      <c r="J74" s="5">
        <v>40.0</v>
      </c>
      <c r="K74" s="5">
        <v>0.0</v>
      </c>
      <c r="L74" s="5">
        <v>3198955.0</v>
      </c>
      <c r="M74" s="5">
        <v>3198955.0</v>
      </c>
      <c r="N74" s="5">
        <v>2979840.0</v>
      </c>
      <c r="O74" s="5">
        <v>219115.0</v>
      </c>
      <c r="P74" s="5">
        <v>0.0</v>
      </c>
      <c r="Q74" s="5">
        <v>0.0</v>
      </c>
      <c r="R74" s="5">
        <v>0.0</v>
      </c>
      <c r="S74" s="3" t="s">
        <v>64</v>
      </c>
      <c r="T74" s="3" t="s">
        <v>64</v>
      </c>
      <c r="U74" s="3" t="s">
        <v>64</v>
      </c>
      <c r="V74" s="3" t="s">
        <v>64</v>
      </c>
      <c r="W74" s="3" t="s">
        <v>64</v>
      </c>
      <c r="X74" s="3" t="s">
        <v>64</v>
      </c>
      <c r="Y74" s="3" t="s">
        <v>64</v>
      </c>
      <c r="Z74" s="3" t="s">
        <v>64</v>
      </c>
      <c r="AA74" s="3" t="s">
        <v>64</v>
      </c>
      <c r="AB74" s="3" t="s">
        <v>64</v>
      </c>
      <c r="AC74" s="3" t="s">
        <v>64</v>
      </c>
      <c r="AD74" s="3" t="s">
        <v>64</v>
      </c>
      <c r="AE74" s="3" t="s">
        <v>64</v>
      </c>
      <c r="AF74" s="3" t="s">
        <v>64</v>
      </c>
      <c r="AG74" s="3" t="s">
        <v>64</v>
      </c>
      <c r="AH74" s="6">
        <v>3198955.0</v>
      </c>
      <c r="AI74" s="5">
        <v>365960.0</v>
      </c>
      <c r="AJ74" s="5">
        <v>0.0</v>
      </c>
      <c r="AK74" s="5">
        <v>223927.0</v>
      </c>
      <c r="AL74" s="5">
        <v>0.0</v>
      </c>
      <c r="AM74" s="5">
        <v>19194.0</v>
      </c>
      <c r="AN74" s="5">
        <v>82521.0</v>
      </c>
      <c r="AO74" s="5">
        <v>0.0</v>
      </c>
      <c r="AP74" s="3" t="s">
        <v>64</v>
      </c>
      <c r="AQ74" s="3" t="s">
        <v>64</v>
      </c>
      <c r="AR74" s="3" t="s">
        <v>64</v>
      </c>
      <c r="AS74" s="5">
        <v>533720.0</v>
      </c>
      <c r="AT74" s="3" t="s">
        <v>64</v>
      </c>
      <c r="AU74" s="3" t="s">
        <v>64</v>
      </c>
      <c r="AV74" s="3" t="s">
        <v>64</v>
      </c>
      <c r="AW74" s="6">
        <v>1225322.0</v>
      </c>
      <c r="AX74" s="6">
        <v>1973633.0</v>
      </c>
      <c r="AY74" s="6">
        <v>0.0</v>
      </c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6">
        <f>SUM(AX7:AX74)</f>
        <v>165317013</v>
      </c>
      <c r="AY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5" width="15.67"/>
    <col customWidth="1" min="6" max="6" width="29.67"/>
    <col customWidth="1" min="7" max="7" width="32.67"/>
    <col customWidth="1" min="8" max="18" width="15.67"/>
    <col customWidth="1" min="19" max="19" width="20.67"/>
    <col customWidth="1" min="20" max="20" width="15.67"/>
    <col customWidth="1" min="21" max="21" width="23.67"/>
    <col customWidth="1" min="22" max="26" width="15.67"/>
    <col customWidth="1" min="27" max="27" width="22.67"/>
    <col customWidth="1" min="28" max="30" width="15.67"/>
    <col customWidth="1" min="31" max="31" width="21.67"/>
    <col customWidth="1" min="32" max="41" width="15.67"/>
    <col customWidth="1" min="42" max="42" width="20.67"/>
    <col customWidth="1" min="43" max="44" width="15.67"/>
    <col customWidth="1" min="45" max="45" width="23.67"/>
    <col customWidth="1" min="46" max="47" width="15.67"/>
    <col customWidth="1" min="48" max="48" width="22.67"/>
    <col customWidth="1" min="49" max="51" width="15.67"/>
  </cols>
  <sheetData>
    <row r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</row>
    <row r="2">
      <c r="A2" s="2" t="s">
        <v>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</row>
    <row r="3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</row>
    <row r="4">
      <c r="A4" s="2" t="s">
        <v>5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</row>
    <row r="5">
      <c r="AH5" s="2"/>
      <c r="AW5" s="2"/>
      <c r="AX5" s="2"/>
      <c r="AY5" s="2"/>
    </row>
    <row r="6">
      <c r="A6" s="2" t="s">
        <v>6</v>
      </c>
      <c r="B6" s="2" t="s">
        <v>7</v>
      </c>
      <c r="C6" s="2" t="s">
        <v>8</v>
      </c>
      <c r="D6" s="2" t="s">
        <v>9</v>
      </c>
      <c r="E6" s="2" t="s">
        <v>10</v>
      </c>
      <c r="F6" s="2" t="s">
        <v>11</v>
      </c>
      <c r="G6" s="2" t="s">
        <v>12</v>
      </c>
      <c r="H6" s="2" t="s">
        <v>13</v>
      </c>
      <c r="I6" s="2" t="s">
        <v>14</v>
      </c>
      <c r="J6" s="2" t="s">
        <v>15</v>
      </c>
      <c r="K6" s="2" t="s">
        <v>16</v>
      </c>
      <c r="L6" s="2" t="s">
        <v>17</v>
      </c>
      <c r="M6" s="2" t="s">
        <v>18</v>
      </c>
      <c r="N6" s="2" t="s">
        <v>19</v>
      </c>
      <c r="O6" s="2" t="s">
        <v>20</v>
      </c>
      <c r="P6" s="2" t="s">
        <v>21</v>
      </c>
      <c r="Q6" s="2" t="s">
        <v>22</v>
      </c>
      <c r="R6" s="2" t="s">
        <v>23</v>
      </c>
      <c r="S6" s="2" t="s">
        <v>24</v>
      </c>
      <c r="T6" s="2" t="s">
        <v>25</v>
      </c>
      <c r="U6" s="2" t="s">
        <v>26</v>
      </c>
      <c r="V6" s="2" t="s">
        <v>27</v>
      </c>
      <c r="W6" s="2" t="s">
        <v>28</v>
      </c>
      <c r="X6" s="2" t="s">
        <v>29</v>
      </c>
      <c r="Y6" s="2" t="s">
        <v>30</v>
      </c>
      <c r="Z6" s="2" t="s">
        <v>31</v>
      </c>
      <c r="AA6" s="2" t="s">
        <v>32</v>
      </c>
      <c r="AB6" s="2" t="s">
        <v>33</v>
      </c>
      <c r="AC6" s="2" t="s">
        <v>34</v>
      </c>
      <c r="AD6" s="2" t="s">
        <v>35</v>
      </c>
      <c r="AE6" s="2" t="s">
        <v>36</v>
      </c>
      <c r="AF6" s="2" t="s">
        <v>37</v>
      </c>
      <c r="AG6" s="2" t="s">
        <v>38</v>
      </c>
      <c r="AH6" s="2" t="s">
        <v>39</v>
      </c>
      <c r="AI6" s="2" t="s">
        <v>40</v>
      </c>
      <c r="AJ6" s="2" t="s">
        <v>41</v>
      </c>
      <c r="AK6" s="2" t="s">
        <v>42</v>
      </c>
      <c r="AL6" s="2" t="s">
        <v>43</v>
      </c>
      <c r="AM6" s="2" t="s">
        <v>44</v>
      </c>
      <c r="AN6" s="2" t="s">
        <v>45</v>
      </c>
      <c r="AO6" s="2" t="s">
        <v>46</v>
      </c>
      <c r="AP6" s="2" t="s">
        <v>47</v>
      </c>
      <c r="AQ6" s="2" t="s">
        <v>48</v>
      </c>
      <c r="AR6" s="2" t="s">
        <v>49</v>
      </c>
      <c r="AS6" s="2" t="s">
        <v>50</v>
      </c>
      <c r="AT6" s="2" t="s">
        <v>51</v>
      </c>
      <c r="AU6" s="2" t="s">
        <v>52</v>
      </c>
      <c r="AV6" s="2" t="s">
        <v>53</v>
      </c>
      <c r="AW6" s="2" t="s">
        <v>54</v>
      </c>
      <c r="AX6" s="2" t="s">
        <v>55</v>
      </c>
      <c r="AY6" s="2" t="s">
        <v>56</v>
      </c>
    </row>
    <row r="7">
      <c r="A7" s="7" t="s">
        <v>77</v>
      </c>
      <c r="B7" s="7" t="s">
        <v>58</v>
      </c>
      <c r="C7" s="7" t="s">
        <v>78</v>
      </c>
      <c r="D7" s="7" t="s">
        <v>79</v>
      </c>
      <c r="E7" s="7" t="s">
        <v>80</v>
      </c>
      <c r="F7" s="7" t="s">
        <v>81</v>
      </c>
      <c r="G7" s="7" t="s">
        <v>82</v>
      </c>
      <c r="H7" s="7" t="s">
        <v>71</v>
      </c>
      <c r="I7" s="8">
        <v>30.0</v>
      </c>
      <c r="J7" s="8">
        <v>40.0</v>
      </c>
      <c r="K7" s="8">
        <v>0.0</v>
      </c>
      <c r="L7" s="8">
        <v>3157134.0</v>
      </c>
      <c r="M7" s="8">
        <v>3157134.0</v>
      </c>
      <c r="N7" s="8">
        <v>2338019.0</v>
      </c>
      <c r="O7" s="8">
        <v>219115.0</v>
      </c>
      <c r="P7" s="8">
        <v>0.0</v>
      </c>
      <c r="Q7" s="8">
        <v>0.0</v>
      </c>
      <c r="R7" s="8">
        <v>0.0</v>
      </c>
      <c r="S7" s="8">
        <v>10000.0</v>
      </c>
      <c r="V7" s="8">
        <v>600000.0</v>
      </c>
      <c r="Z7" s="8">
        <v>20000.0</v>
      </c>
      <c r="AF7" s="8">
        <v>220000.0</v>
      </c>
      <c r="AH7" s="9">
        <v>3407134.0</v>
      </c>
      <c r="AI7" s="8">
        <v>334025.0</v>
      </c>
      <c r="AJ7" s="8">
        <v>0.0</v>
      </c>
      <c r="AK7" s="8">
        <v>220999.0</v>
      </c>
      <c r="AL7" s="8">
        <v>0.0</v>
      </c>
      <c r="AM7" s="8">
        <v>0.0</v>
      </c>
      <c r="AN7" s="8">
        <v>83500.0</v>
      </c>
      <c r="AO7" s="8">
        <v>0.0</v>
      </c>
      <c r="AW7" s="9">
        <v>638524.0</v>
      </c>
      <c r="AX7" s="9">
        <v>2768610.0</v>
      </c>
      <c r="AY7" s="9">
        <v>0.0</v>
      </c>
    </row>
    <row r="8">
      <c r="A8" s="7" t="s">
        <v>89</v>
      </c>
      <c r="B8" s="7" t="s">
        <v>58</v>
      </c>
      <c r="C8" s="7" t="s">
        <v>90</v>
      </c>
      <c r="D8" s="7" t="s">
        <v>91</v>
      </c>
      <c r="E8" s="7" t="s">
        <v>92</v>
      </c>
      <c r="F8" s="7" t="s">
        <v>93</v>
      </c>
      <c r="G8" s="7" t="s">
        <v>94</v>
      </c>
      <c r="H8" s="7" t="s">
        <v>71</v>
      </c>
      <c r="I8" s="8">
        <v>30.0</v>
      </c>
      <c r="J8" s="8">
        <v>40.0</v>
      </c>
      <c r="K8" s="8">
        <v>0.0</v>
      </c>
      <c r="L8" s="8">
        <v>990000.0</v>
      </c>
      <c r="M8" s="8">
        <v>990000.0</v>
      </c>
      <c r="N8" s="8">
        <v>792000.0</v>
      </c>
      <c r="O8" s="8">
        <v>198000.0</v>
      </c>
      <c r="P8" s="8">
        <v>0.0</v>
      </c>
      <c r="Q8" s="8">
        <v>0.0</v>
      </c>
      <c r="R8" s="8">
        <v>0.0</v>
      </c>
      <c r="AH8" s="9">
        <v>990000.0</v>
      </c>
      <c r="AI8" s="8">
        <v>104742.0</v>
      </c>
      <c r="AJ8" s="8">
        <v>0.0</v>
      </c>
      <c r="AK8" s="8">
        <v>69300.0</v>
      </c>
      <c r="AL8" s="8">
        <v>0.0</v>
      </c>
      <c r="AM8" s="8">
        <v>0.0</v>
      </c>
      <c r="AN8" s="8">
        <v>0.0</v>
      </c>
      <c r="AO8" s="8">
        <v>0.0</v>
      </c>
      <c r="AW8" s="9">
        <v>174042.0</v>
      </c>
      <c r="AX8" s="9">
        <v>815958.0</v>
      </c>
      <c r="AY8" s="9">
        <v>0.0</v>
      </c>
    </row>
    <row r="9">
      <c r="A9" s="7" t="s">
        <v>96</v>
      </c>
      <c r="B9" s="7" t="s">
        <v>58</v>
      </c>
      <c r="C9" s="7" t="s">
        <v>98</v>
      </c>
      <c r="D9" s="7" t="s">
        <v>99</v>
      </c>
      <c r="E9" s="7" t="s">
        <v>103</v>
      </c>
      <c r="F9" s="7" t="s">
        <v>105</v>
      </c>
      <c r="G9" s="7" t="s">
        <v>107</v>
      </c>
      <c r="H9" s="7" t="s">
        <v>71</v>
      </c>
      <c r="I9" s="8">
        <v>30.0</v>
      </c>
      <c r="J9" s="8">
        <v>42.0</v>
      </c>
      <c r="K9" s="8">
        <v>0.0</v>
      </c>
      <c r="L9" s="8">
        <v>3041378.0</v>
      </c>
      <c r="M9" s="8">
        <v>3041378.0</v>
      </c>
      <c r="N9" s="8">
        <v>1000000.0</v>
      </c>
      <c r="O9" s="8">
        <v>219115.0</v>
      </c>
      <c r="P9" s="8">
        <v>0.0</v>
      </c>
      <c r="Q9" s="8">
        <v>0.0</v>
      </c>
      <c r="R9" s="8">
        <v>0.0</v>
      </c>
      <c r="AB9" s="8">
        <v>120000.0</v>
      </c>
      <c r="AC9" s="8">
        <v>1822263.0</v>
      </c>
      <c r="AF9" s="8">
        <v>60000.0</v>
      </c>
      <c r="AH9" s="9">
        <v>3221378.0</v>
      </c>
      <c r="AI9" s="8">
        <v>348238.0</v>
      </c>
      <c r="AJ9" s="8">
        <v>0.0</v>
      </c>
      <c r="AK9" s="8">
        <v>212896.0</v>
      </c>
      <c r="AL9" s="8">
        <v>0.0</v>
      </c>
      <c r="AM9" s="8">
        <v>0.0</v>
      </c>
      <c r="AN9" s="8">
        <v>73750.0</v>
      </c>
      <c r="AO9" s="8">
        <v>0.0</v>
      </c>
      <c r="AP9" s="8">
        <v>200000.0</v>
      </c>
      <c r="AW9" s="9">
        <v>834884.0</v>
      </c>
      <c r="AX9" s="9">
        <v>2386494.0</v>
      </c>
      <c r="AY9" s="9">
        <v>0.0</v>
      </c>
    </row>
    <row r="10">
      <c r="A10" s="7" t="s">
        <v>108</v>
      </c>
      <c r="B10" s="7" t="s">
        <v>58</v>
      </c>
      <c r="C10" s="7" t="s">
        <v>109</v>
      </c>
      <c r="D10" s="7" t="s">
        <v>91</v>
      </c>
      <c r="E10" s="7" t="s">
        <v>110</v>
      </c>
      <c r="F10" s="7" t="s">
        <v>111</v>
      </c>
      <c r="G10" s="7" t="s">
        <v>94</v>
      </c>
      <c r="H10" s="7" t="s">
        <v>71</v>
      </c>
      <c r="I10" s="8">
        <v>30.0</v>
      </c>
      <c r="J10" s="8">
        <v>40.0</v>
      </c>
      <c r="K10" s="8">
        <v>0.0</v>
      </c>
      <c r="L10" s="8">
        <v>1690647.0</v>
      </c>
      <c r="M10" s="8">
        <v>1690647.0</v>
      </c>
      <c r="N10" s="8">
        <v>1471532.0</v>
      </c>
      <c r="O10" s="8">
        <v>219115.0</v>
      </c>
      <c r="P10" s="8">
        <v>0.0</v>
      </c>
      <c r="Q10" s="8">
        <v>0.0</v>
      </c>
      <c r="R10" s="8">
        <v>0.0</v>
      </c>
      <c r="AH10" s="9">
        <v>1690647.0</v>
      </c>
      <c r="AI10" s="8">
        <v>178870.0</v>
      </c>
      <c r="AJ10" s="8">
        <v>0.0</v>
      </c>
      <c r="AK10" s="8">
        <v>118345.0</v>
      </c>
      <c r="AL10" s="8">
        <v>0.0</v>
      </c>
      <c r="AM10" s="8">
        <v>0.0</v>
      </c>
      <c r="AN10" s="8">
        <v>17047.0</v>
      </c>
      <c r="AO10" s="8">
        <v>0.0</v>
      </c>
      <c r="AW10" s="9">
        <v>314262.0</v>
      </c>
      <c r="AX10" s="9">
        <v>1376385.0</v>
      </c>
      <c r="AY10" s="9">
        <v>0.0</v>
      </c>
    </row>
    <row r="11">
      <c r="A11" s="7" t="s">
        <v>115</v>
      </c>
      <c r="B11" s="7" t="s">
        <v>58</v>
      </c>
      <c r="C11" s="7" t="s">
        <v>116</v>
      </c>
      <c r="D11" s="7" t="s">
        <v>117</v>
      </c>
      <c r="E11" s="7" t="s">
        <v>118</v>
      </c>
      <c r="F11" s="7" t="s">
        <v>119</v>
      </c>
      <c r="G11" s="7" t="s">
        <v>94</v>
      </c>
      <c r="H11" s="7" t="s">
        <v>71</v>
      </c>
      <c r="I11" s="8">
        <v>30.0</v>
      </c>
      <c r="J11" s="8">
        <v>40.0</v>
      </c>
      <c r="K11" s="8">
        <v>0.0</v>
      </c>
      <c r="L11" s="8">
        <v>691941.0</v>
      </c>
      <c r="M11" s="8">
        <v>691941.0</v>
      </c>
      <c r="N11" s="8">
        <v>553553.0</v>
      </c>
      <c r="O11" s="8">
        <v>138388.0</v>
      </c>
      <c r="P11" s="8">
        <v>0.0</v>
      </c>
      <c r="Q11" s="8">
        <v>0.0</v>
      </c>
      <c r="R11" s="8">
        <v>0.0</v>
      </c>
      <c r="AH11" s="9">
        <v>691941.0</v>
      </c>
      <c r="AI11" s="8">
        <v>72377.0</v>
      </c>
      <c r="AJ11" s="8">
        <v>0.0</v>
      </c>
      <c r="AK11" s="8">
        <v>48436.0</v>
      </c>
      <c r="AL11" s="8">
        <v>0.0</v>
      </c>
      <c r="AM11" s="8">
        <v>0.0</v>
      </c>
      <c r="AN11" s="8">
        <v>0.0</v>
      </c>
      <c r="AO11" s="8">
        <v>0.0</v>
      </c>
      <c r="AW11" s="9">
        <v>120813.0</v>
      </c>
      <c r="AX11" s="9">
        <v>571128.0</v>
      </c>
      <c r="AY11" s="9">
        <v>0.0</v>
      </c>
    </row>
    <row r="12">
      <c r="AH12" s="2"/>
      <c r="AW12" s="2"/>
      <c r="AX12" s="2"/>
      <c r="AY12" s="2"/>
    </row>
    <row r="13">
      <c r="AH13" s="2"/>
      <c r="AW13" s="2"/>
      <c r="AX13" s="9">
        <f>SUM(AX7:AX11)</f>
        <v>7918575</v>
      </c>
      <c r="AY13" s="2"/>
    </row>
    <row r="14">
      <c r="AH14" s="2"/>
      <c r="AW14" s="2"/>
      <c r="AX14" s="2"/>
      <c r="AY14" s="2"/>
    </row>
    <row r="15">
      <c r="AH15" s="2"/>
      <c r="AW15" s="2"/>
      <c r="AX15" s="2"/>
      <c r="AY15" s="2"/>
    </row>
    <row r="16">
      <c r="AH16" s="2"/>
      <c r="AW16" s="2"/>
      <c r="AX16" s="2"/>
      <c r="AY16" s="2"/>
    </row>
    <row r="17">
      <c r="AH17" s="2"/>
      <c r="AW17" s="2"/>
      <c r="AX17" s="2"/>
      <c r="AY17" s="2"/>
    </row>
    <row r="18">
      <c r="AH18" s="2"/>
      <c r="AW18" s="2"/>
      <c r="AX18" s="2"/>
      <c r="AY18" s="2"/>
    </row>
    <row r="19">
      <c r="AH19" s="2"/>
      <c r="AW19" s="2"/>
      <c r="AX19" s="2"/>
      <c r="AY19" s="2"/>
    </row>
    <row r="20">
      <c r="AH20" s="2"/>
      <c r="AW20" s="2"/>
      <c r="AX20" s="2"/>
      <c r="AY20" s="2"/>
    </row>
    <row r="21" ht="15.75" customHeight="1">
      <c r="AH21" s="2"/>
      <c r="AW21" s="2"/>
      <c r="AX21" s="2"/>
      <c r="AY21" s="2"/>
    </row>
    <row r="22" ht="15.75" customHeight="1">
      <c r="AH22" s="2"/>
      <c r="AW22" s="2"/>
      <c r="AX22" s="2"/>
      <c r="AY22" s="2"/>
    </row>
    <row r="23" ht="15.75" customHeight="1">
      <c r="AH23" s="2"/>
      <c r="AW23" s="2"/>
      <c r="AX23" s="2"/>
      <c r="AY23" s="2"/>
    </row>
    <row r="24" ht="15.75" customHeight="1">
      <c r="AH24" s="2"/>
      <c r="AW24" s="2"/>
      <c r="AX24" s="2"/>
      <c r="AY24" s="2"/>
    </row>
    <row r="25" ht="15.75" customHeight="1">
      <c r="AH25" s="2"/>
      <c r="AW25" s="2"/>
      <c r="AX25" s="2"/>
      <c r="AY25" s="2"/>
    </row>
    <row r="26" ht="15.75" customHeight="1">
      <c r="AH26" s="2"/>
      <c r="AW26" s="2"/>
      <c r="AX26" s="2"/>
      <c r="AY26" s="2"/>
    </row>
    <row r="27" ht="15.75" customHeight="1">
      <c r="AH27" s="2"/>
      <c r="AW27" s="2"/>
      <c r="AX27" s="2"/>
      <c r="AY27" s="2"/>
    </row>
    <row r="28" ht="15.75" customHeight="1">
      <c r="AH28" s="2"/>
      <c r="AW28" s="2"/>
      <c r="AX28" s="2"/>
      <c r="AY28" s="2"/>
    </row>
    <row r="29" ht="15.75" customHeight="1">
      <c r="AH29" s="2"/>
      <c r="AW29" s="2"/>
      <c r="AX29" s="2"/>
      <c r="AY29" s="2"/>
    </row>
    <row r="30" ht="15.75" customHeight="1">
      <c r="AH30" s="2"/>
      <c r="AW30" s="2"/>
      <c r="AX30" s="2"/>
      <c r="AY30" s="2"/>
    </row>
    <row r="31" ht="15.75" customHeight="1">
      <c r="AH31" s="2"/>
      <c r="AW31" s="2"/>
      <c r="AX31" s="2"/>
      <c r="AY31" s="2"/>
    </row>
    <row r="32" ht="15.75" customHeight="1">
      <c r="AH32" s="2"/>
      <c r="AW32" s="2"/>
      <c r="AX32" s="2"/>
      <c r="AY32" s="2"/>
    </row>
    <row r="33" ht="15.75" customHeight="1">
      <c r="AH33" s="2"/>
      <c r="AW33" s="2"/>
      <c r="AX33" s="2"/>
      <c r="AY33" s="2"/>
    </row>
    <row r="34" ht="15.75" customHeight="1">
      <c r="AH34" s="2"/>
      <c r="AW34" s="2"/>
      <c r="AX34" s="2"/>
      <c r="AY34" s="2"/>
    </row>
    <row r="35" ht="15.75" customHeight="1">
      <c r="AH35" s="2"/>
      <c r="AW35" s="2"/>
      <c r="AX35" s="2"/>
      <c r="AY35" s="2"/>
    </row>
    <row r="36" ht="15.75" customHeight="1">
      <c r="AH36" s="2"/>
      <c r="AW36" s="2"/>
      <c r="AX36" s="2"/>
      <c r="AY36" s="2"/>
    </row>
    <row r="37" ht="15.75" customHeight="1">
      <c r="AH37" s="2"/>
      <c r="AW37" s="2"/>
      <c r="AX37" s="2"/>
      <c r="AY37" s="2"/>
    </row>
    <row r="38" ht="15.75" customHeight="1">
      <c r="AH38" s="2"/>
      <c r="AW38" s="2"/>
      <c r="AX38" s="2"/>
      <c r="AY38" s="2"/>
    </row>
    <row r="39" ht="15.75" customHeight="1">
      <c r="AH39" s="2"/>
      <c r="AW39" s="2"/>
      <c r="AX39" s="2"/>
      <c r="AY39" s="2"/>
    </row>
    <row r="40" ht="15.75" customHeight="1">
      <c r="AH40" s="2"/>
      <c r="AW40" s="2"/>
      <c r="AX40" s="2"/>
      <c r="AY40" s="2"/>
    </row>
    <row r="41" ht="15.75" customHeight="1">
      <c r="AH41" s="2"/>
      <c r="AW41" s="2"/>
      <c r="AX41" s="2"/>
      <c r="AY41" s="2"/>
    </row>
    <row r="42" ht="15.75" customHeight="1">
      <c r="AH42" s="2"/>
      <c r="AW42" s="2"/>
      <c r="AX42" s="2"/>
      <c r="AY42" s="2"/>
    </row>
    <row r="43" ht="15.75" customHeight="1">
      <c r="AH43" s="2"/>
      <c r="AW43" s="2"/>
      <c r="AX43" s="2"/>
      <c r="AY43" s="2"/>
    </row>
    <row r="44" ht="15.75" customHeight="1">
      <c r="AH44" s="2"/>
      <c r="AW44" s="2"/>
      <c r="AX44" s="2"/>
      <c r="AY44" s="2"/>
    </row>
    <row r="45" ht="15.75" customHeight="1">
      <c r="AH45" s="2"/>
      <c r="AW45" s="2"/>
      <c r="AX45" s="2"/>
      <c r="AY45" s="2"/>
    </row>
    <row r="46" ht="15.75" customHeight="1">
      <c r="AH46" s="2"/>
      <c r="AW46" s="2"/>
      <c r="AX46" s="2"/>
      <c r="AY46" s="2"/>
    </row>
    <row r="47" ht="15.75" customHeight="1">
      <c r="AH47" s="2"/>
      <c r="AW47" s="2"/>
      <c r="AX47" s="2"/>
      <c r="AY47" s="2"/>
    </row>
    <row r="48" ht="15.75" customHeight="1">
      <c r="AH48" s="2"/>
      <c r="AW48" s="2"/>
      <c r="AX48" s="2"/>
      <c r="AY48" s="2"/>
    </row>
    <row r="49" ht="15.75" customHeight="1">
      <c r="AH49" s="2"/>
      <c r="AW49" s="2"/>
      <c r="AX49" s="2"/>
      <c r="AY49" s="2"/>
    </row>
    <row r="50" ht="15.75" customHeight="1">
      <c r="AH50" s="2"/>
      <c r="AW50" s="2"/>
      <c r="AX50" s="2"/>
      <c r="AY50" s="2"/>
    </row>
    <row r="51" ht="15.75" customHeight="1">
      <c r="AH51" s="2"/>
      <c r="AW51" s="2"/>
      <c r="AX51" s="2"/>
      <c r="AY51" s="2"/>
    </row>
    <row r="52" ht="15.75" customHeight="1">
      <c r="AH52" s="2"/>
      <c r="AW52" s="2"/>
      <c r="AX52" s="2"/>
      <c r="AY52" s="2"/>
    </row>
    <row r="53" ht="15.75" customHeight="1">
      <c r="AH53" s="2"/>
      <c r="AW53" s="2"/>
      <c r="AX53" s="2"/>
      <c r="AY53" s="2"/>
    </row>
    <row r="54" ht="15.75" customHeight="1">
      <c r="AH54" s="2"/>
      <c r="AW54" s="2"/>
      <c r="AX54" s="2"/>
      <c r="AY54" s="2"/>
    </row>
    <row r="55" ht="15.75" customHeight="1">
      <c r="AH55" s="2"/>
      <c r="AW55" s="2"/>
      <c r="AX55" s="2"/>
      <c r="AY55" s="2"/>
    </row>
    <row r="56" ht="15.75" customHeight="1">
      <c r="AH56" s="2"/>
      <c r="AW56" s="2"/>
      <c r="AX56" s="2"/>
      <c r="AY56" s="2"/>
    </row>
    <row r="57" ht="15.75" customHeight="1">
      <c r="AH57" s="2"/>
      <c r="AW57" s="2"/>
      <c r="AX57" s="2"/>
      <c r="AY57" s="2"/>
    </row>
    <row r="58" ht="15.75" customHeight="1">
      <c r="AH58" s="2"/>
      <c r="AW58" s="2"/>
      <c r="AX58" s="2"/>
      <c r="AY58" s="2"/>
    </row>
    <row r="59" ht="15.75" customHeight="1">
      <c r="AH59" s="2"/>
      <c r="AW59" s="2"/>
      <c r="AX59" s="2"/>
      <c r="AY59" s="2"/>
    </row>
    <row r="60" ht="15.75" customHeight="1">
      <c r="AH60" s="2"/>
      <c r="AW60" s="2"/>
      <c r="AX60" s="2"/>
      <c r="AY60" s="2"/>
    </row>
    <row r="61" ht="15.75" customHeight="1">
      <c r="AH61" s="2"/>
      <c r="AW61" s="2"/>
      <c r="AX61" s="2"/>
      <c r="AY61" s="2"/>
    </row>
    <row r="62" ht="15.75" customHeight="1">
      <c r="AH62" s="2"/>
      <c r="AW62" s="2"/>
      <c r="AX62" s="2"/>
      <c r="AY62" s="2"/>
    </row>
    <row r="63" ht="15.75" customHeight="1">
      <c r="AH63" s="2"/>
      <c r="AW63" s="2"/>
      <c r="AX63" s="2"/>
      <c r="AY63" s="2"/>
    </row>
    <row r="64" ht="15.75" customHeight="1">
      <c r="AH64" s="2"/>
      <c r="AW64" s="2"/>
      <c r="AX64" s="2"/>
      <c r="AY64" s="2"/>
    </row>
    <row r="65" ht="15.75" customHeight="1">
      <c r="AH65" s="2"/>
      <c r="AW65" s="2"/>
      <c r="AX65" s="2"/>
      <c r="AY65" s="2"/>
    </row>
    <row r="66" ht="15.75" customHeight="1">
      <c r="AH66" s="2"/>
      <c r="AW66" s="2"/>
      <c r="AX66" s="2"/>
      <c r="AY66" s="2"/>
    </row>
    <row r="67" ht="15.75" customHeight="1">
      <c r="AH67" s="2"/>
      <c r="AW67" s="2"/>
      <c r="AX67" s="2"/>
      <c r="AY67" s="2"/>
    </row>
    <row r="68" ht="15.75" customHeight="1">
      <c r="AH68" s="2"/>
      <c r="AW68" s="2"/>
      <c r="AX68" s="2"/>
      <c r="AY68" s="2"/>
    </row>
    <row r="69" ht="15.75" customHeight="1">
      <c r="AH69" s="2"/>
      <c r="AW69" s="2"/>
      <c r="AX69" s="2"/>
      <c r="AY69" s="2"/>
    </row>
    <row r="70" ht="15.75" customHeight="1">
      <c r="AH70" s="2"/>
      <c r="AW70" s="2"/>
      <c r="AX70" s="2"/>
      <c r="AY70" s="2"/>
    </row>
    <row r="71" ht="15.75" customHeight="1">
      <c r="AH71" s="2"/>
      <c r="AW71" s="2"/>
      <c r="AX71" s="2"/>
      <c r="AY71" s="2"/>
    </row>
    <row r="72" ht="15.75" customHeight="1">
      <c r="AH72" s="2"/>
      <c r="AW72" s="2"/>
      <c r="AX72" s="2"/>
      <c r="AY72" s="2"/>
    </row>
    <row r="73" ht="15.75" customHeight="1">
      <c r="AH73" s="2"/>
      <c r="AW73" s="2"/>
      <c r="AX73" s="2"/>
      <c r="AY73" s="2"/>
    </row>
    <row r="74" ht="15.75" customHeight="1">
      <c r="AH74" s="2"/>
      <c r="AW74" s="2"/>
      <c r="AX74" s="2"/>
      <c r="AY74" s="2"/>
    </row>
    <row r="75" ht="15.75" customHeight="1">
      <c r="AH75" s="2"/>
      <c r="AW75" s="2"/>
      <c r="AX75" s="2"/>
      <c r="AY75" s="2"/>
    </row>
    <row r="76" ht="15.75" customHeight="1">
      <c r="AH76" s="2"/>
      <c r="AW76" s="2"/>
      <c r="AX76" s="2"/>
      <c r="AY76" s="2"/>
    </row>
    <row r="77" ht="15.75" customHeight="1">
      <c r="AH77" s="2"/>
      <c r="AW77" s="2"/>
      <c r="AX77" s="2"/>
      <c r="AY77" s="2"/>
    </row>
    <row r="78" ht="15.75" customHeight="1">
      <c r="AH78" s="2"/>
      <c r="AW78" s="2"/>
      <c r="AX78" s="2"/>
      <c r="AY78" s="2"/>
    </row>
    <row r="79" ht="15.75" customHeight="1">
      <c r="AH79" s="2"/>
      <c r="AW79" s="2"/>
      <c r="AX79" s="2"/>
      <c r="AY79" s="2"/>
    </row>
    <row r="80" ht="15.75" customHeight="1">
      <c r="AH80" s="2"/>
      <c r="AW80" s="2"/>
      <c r="AX80" s="2"/>
      <c r="AY80" s="2"/>
    </row>
    <row r="81" ht="15.75" customHeight="1">
      <c r="AH81" s="2"/>
      <c r="AW81" s="2"/>
      <c r="AX81" s="2"/>
      <c r="AY81" s="2"/>
    </row>
    <row r="82" ht="15.75" customHeight="1">
      <c r="AH82" s="2"/>
      <c r="AW82" s="2"/>
      <c r="AX82" s="2"/>
      <c r="AY82" s="2"/>
    </row>
    <row r="83" ht="15.75" customHeight="1">
      <c r="AH83" s="2"/>
      <c r="AW83" s="2"/>
      <c r="AX83" s="2"/>
      <c r="AY83" s="2"/>
    </row>
    <row r="84" ht="15.75" customHeight="1">
      <c r="AH84" s="2"/>
      <c r="AW84" s="2"/>
      <c r="AX84" s="2"/>
      <c r="AY84" s="2"/>
    </row>
    <row r="85" ht="15.75" customHeight="1">
      <c r="AH85" s="2"/>
      <c r="AW85" s="2"/>
      <c r="AX85" s="2"/>
      <c r="AY85" s="2"/>
    </row>
    <row r="86" ht="15.75" customHeight="1">
      <c r="AH86" s="2"/>
      <c r="AW86" s="2"/>
      <c r="AX86" s="2"/>
      <c r="AY86" s="2"/>
    </row>
    <row r="87" ht="15.75" customHeight="1">
      <c r="AH87" s="2"/>
      <c r="AW87" s="2"/>
      <c r="AX87" s="2"/>
      <c r="AY87" s="2"/>
    </row>
    <row r="88" ht="15.75" customHeight="1">
      <c r="AH88" s="2"/>
      <c r="AW88" s="2"/>
      <c r="AX88" s="2"/>
      <c r="AY88" s="2"/>
    </row>
    <row r="89" ht="15.75" customHeight="1">
      <c r="AH89" s="2"/>
      <c r="AW89" s="2"/>
      <c r="AX89" s="2"/>
      <c r="AY89" s="2"/>
    </row>
    <row r="90" ht="15.75" customHeight="1">
      <c r="AH90" s="2"/>
      <c r="AW90" s="2"/>
      <c r="AX90" s="2"/>
      <c r="AY90" s="2"/>
    </row>
    <row r="91" ht="15.75" customHeight="1">
      <c r="AH91" s="2"/>
      <c r="AW91" s="2"/>
      <c r="AX91" s="2"/>
      <c r="AY91" s="2"/>
    </row>
    <row r="92" ht="15.75" customHeight="1">
      <c r="AH92" s="2"/>
      <c r="AW92" s="2"/>
      <c r="AX92" s="2"/>
      <c r="AY92" s="2"/>
    </row>
    <row r="93" ht="15.75" customHeight="1">
      <c r="AH93" s="2"/>
      <c r="AW93" s="2"/>
      <c r="AX93" s="2"/>
      <c r="AY93" s="2"/>
    </row>
    <row r="94" ht="15.75" customHeight="1">
      <c r="AH94" s="2"/>
      <c r="AW94" s="2"/>
      <c r="AX94" s="2"/>
      <c r="AY94" s="2"/>
    </row>
    <row r="95" ht="15.75" customHeight="1">
      <c r="AH95" s="2"/>
      <c r="AW95" s="2"/>
      <c r="AX95" s="2"/>
      <c r="AY95" s="2"/>
    </row>
    <row r="96" ht="15.75" customHeight="1">
      <c r="AH96" s="2"/>
      <c r="AW96" s="2"/>
      <c r="AX96" s="2"/>
      <c r="AY96" s="2"/>
    </row>
    <row r="97" ht="15.75" customHeight="1">
      <c r="AH97" s="2"/>
      <c r="AW97" s="2"/>
      <c r="AX97" s="2"/>
      <c r="AY97" s="2"/>
    </row>
    <row r="98" ht="15.75" customHeight="1">
      <c r="AH98" s="2"/>
      <c r="AW98" s="2"/>
      <c r="AX98" s="2"/>
      <c r="AY98" s="2"/>
    </row>
    <row r="99" ht="15.75" customHeight="1">
      <c r="AH99" s="2"/>
      <c r="AW99" s="2"/>
      <c r="AX99" s="2"/>
      <c r="AY99" s="2"/>
    </row>
    <row r="100" ht="15.75" customHeight="1">
      <c r="AH100" s="2"/>
      <c r="AW100" s="2"/>
      <c r="AX100" s="2"/>
      <c r="AY100" s="2"/>
    </row>
    <row r="101" ht="15.75" customHeight="1">
      <c r="AH101" s="2"/>
      <c r="AW101" s="2"/>
      <c r="AX101" s="2"/>
      <c r="AY101" s="2"/>
    </row>
    <row r="102" ht="15.75" customHeight="1">
      <c r="AH102" s="2"/>
      <c r="AW102" s="2"/>
      <c r="AX102" s="2"/>
      <c r="AY102" s="2"/>
    </row>
    <row r="103" ht="15.75" customHeight="1">
      <c r="AH103" s="2"/>
      <c r="AW103" s="2"/>
      <c r="AX103" s="2"/>
      <c r="AY103" s="2"/>
    </row>
    <row r="104" ht="15.75" customHeight="1">
      <c r="AH104" s="2"/>
      <c r="AW104" s="2"/>
      <c r="AX104" s="2"/>
      <c r="AY104" s="2"/>
    </row>
    <row r="105" ht="15.75" customHeight="1">
      <c r="AH105" s="2"/>
      <c r="AW105" s="2"/>
      <c r="AX105" s="2"/>
      <c r="AY105" s="2"/>
    </row>
    <row r="106" ht="15.75" customHeight="1">
      <c r="AH106" s="2"/>
      <c r="AW106" s="2"/>
      <c r="AX106" s="2"/>
      <c r="AY106" s="2"/>
    </row>
    <row r="107" ht="15.75" customHeight="1">
      <c r="AH107" s="2"/>
      <c r="AW107" s="2"/>
      <c r="AX107" s="2"/>
      <c r="AY107" s="2"/>
    </row>
    <row r="108" ht="15.75" customHeight="1">
      <c r="AH108" s="2"/>
      <c r="AW108" s="2"/>
      <c r="AX108" s="2"/>
      <c r="AY108" s="2"/>
    </row>
    <row r="109" ht="15.75" customHeight="1">
      <c r="AH109" s="2"/>
      <c r="AW109" s="2"/>
      <c r="AX109" s="2"/>
      <c r="AY109" s="2"/>
    </row>
    <row r="110" ht="15.75" customHeight="1">
      <c r="AH110" s="2"/>
      <c r="AW110" s="2"/>
      <c r="AX110" s="2"/>
      <c r="AY110" s="2"/>
    </row>
    <row r="111" ht="15.75" customHeight="1">
      <c r="AH111" s="2"/>
      <c r="AW111" s="2"/>
      <c r="AX111" s="2"/>
      <c r="AY111" s="2"/>
    </row>
    <row r="112" ht="15.75" customHeight="1">
      <c r="AH112" s="2"/>
      <c r="AW112" s="2"/>
      <c r="AX112" s="2"/>
      <c r="AY112" s="2"/>
    </row>
    <row r="113" ht="15.75" customHeight="1">
      <c r="AH113" s="2"/>
      <c r="AW113" s="2"/>
      <c r="AX113" s="2"/>
      <c r="AY113" s="2"/>
    </row>
    <row r="114" ht="15.75" customHeight="1">
      <c r="AH114" s="2"/>
      <c r="AW114" s="2"/>
      <c r="AX114" s="2"/>
      <c r="AY114" s="2"/>
    </row>
    <row r="115" ht="15.75" customHeight="1">
      <c r="AH115" s="2"/>
      <c r="AW115" s="2"/>
      <c r="AX115" s="2"/>
      <c r="AY115" s="2"/>
    </row>
    <row r="116" ht="15.75" customHeight="1">
      <c r="AH116" s="2"/>
      <c r="AW116" s="2"/>
      <c r="AX116" s="2"/>
      <c r="AY116" s="2"/>
    </row>
    <row r="117" ht="15.75" customHeight="1">
      <c r="AH117" s="2"/>
      <c r="AW117" s="2"/>
      <c r="AX117" s="2"/>
      <c r="AY117" s="2"/>
    </row>
    <row r="118" ht="15.75" customHeight="1">
      <c r="AH118" s="2"/>
      <c r="AW118" s="2"/>
      <c r="AX118" s="2"/>
      <c r="AY118" s="2"/>
    </row>
    <row r="119" ht="15.75" customHeight="1">
      <c r="AH119" s="2"/>
      <c r="AW119" s="2"/>
      <c r="AX119" s="2"/>
      <c r="AY119" s="2"/>
    </row>
    <row r="120" ht="15.75" customHeight="1">
      <c r="AH120" s="2"/>
      <c r="AW120" s="2"/>
      <c r="AX120" s="2"/>
      <c r="AY120" s="2"/>
    </row>
    <row r="121" ht="15.75" customHeight="1">
      <c r="AH121" s="2"/>
      <c r="AW121" s="2"/>
      <c r="AX121" s="2"/>
      <c r="AY121" s="2"/>
    </row>
    <row r="122" ht="15.75" customHeight="1">
      <c r="AH122" s="2"/>
      <c r="AW122" s="2"/>
      <c r="AX122" s="2"/>
      <c r="AY122" s="2"/>
    </row>
    <row r="123" ht="15.75" customHeight="1">
      <c r="AH123" s="2"/>
      <c r="AW123" s="2"/>
      <c r="AX123" s="2"/>
      <c r="AY123" s="2"/>
    </row>
    <row r="124" ht="15.75" customHeight="1">
      <c r="AH124" s="2"/>
      <c r="AW124" s="2"/>
      <c r="AX124" s="2"/>
      <c r="AY124" s="2"/>
    </row>
    <row r="125" ht="15.75" customHeight="1">
      <c r="AH125" s="2"/>
      <c r="AW125" s="2"/>
      <c r="AX125" s="2"/>
      <c r="AY125" s="2"/>
    </row>
    <row r="126" ht="15.75" customHeight="1">
      <c r="AH126" s="2"/>
      <c r="AW126" s="2"/>
      <c r="AX126" s="2"/>
      <c r="AY126" s="2"/>
    </row>
    <row r="127" ht="15.75" customHeight="1">
      <c r="AH127" s="2"/>
      <c r="AW127" s="2"/>
      <c r="AX127" s="2"/>
      <c r="AY127" s="2"/>
    </row>
    <row r="128" ht="15.75" customHeight="1">
      <c r="AH128" s="2"/>
      <c r="AW128" s="2"/>
      <c r="AX128" s="2"/>
      <c r="AY128" s="2"/>
    </row>
    <row r="129" ht="15.75" customHeight="1">
      <c r="AH129" s="2"/>
      <c r="AW129" s="2"/>
      <c r="AX129" s="2"/>
      <c r="AY129" s="2"/>
    </row>
    <row r="130" ht="15.75" customHeight="1">
      <c r="AH130" s="2"/>
      <c r="AW130" s="2"/>
      <c r="AX130" s="2"/>
      <c r="AY130" s="2"/>
    </row>
    <row r="131" ht="15.75" customHeight="1">
      <c r="AH131" s="2"/>
      <c r="AW131" s="2"/>
      <c r="AX131" s="2"/>
      <c r="AY131" s="2"/>
    </row>
    <row r="132" ht="15.75" customHeight="1">
      <c r="AH132" s="2"/>
      <c r="AW132" s="2"/>
      <c r="AX132" s="2"/>
      <c r="AY132" s="2"/>
    </row>
    <row r="133" ht="15.75" customHeight="1">
      <c r="AH133" s="2"/>
      <c r="AW133" s="2"/>
      <c r="AX133" s="2"/>
      <c r="AY133" s="2"/>
    </row>
    <row r="134" ht="15.75" customHeight="1">
      <c r="AH134" s="2"/>
      <c r="AW134" s="2"/>
      <c r="AX134" s="2"/>
      <c r="AY134" s="2"/>
    </row>
    <row r="135" ht="15.75" customHeight="1">
      <c r="AH135" s="2"/>
      <c r="AW135" s="2"/>
      <c r="AX135" s="2"/>
      <c r="AY135" s="2"/>
    </row>
    <row r="136" ht="15.75" customHeight="1">
      <c r="AH136" s="2"/>
      <c r="AW136" s="2"/>
      <c r="AX136" s="2"/>
      <c r="AY136" s="2"/>
    </row>
    <row r="137" ht="15.75" customHeight="1">
      <c r="AH137" s="2"/>
      <c r="AW137" s="2"/>
      <c r="AX137" s="2"/>
      <c r="AY137" s="2"/>
    </row>
    <row r="138" ht="15.75" customHeight="1">
      <c r="AH138" s="2"/>
      <c r="AW138" s="2"/>
      <c r="AX138" s="2"/>
      <c r="AY138" s="2"/>
    </row>
    <row r="139" ht="15.75" customHeight="1">
      <c r="AH139" s="2"/>
      <c r="AW139" s="2"/>
      <c r="AX139" s="2"/>
      <c r="AY139" s="2"/>
    </row>
    <row r="140" ht="15.75" customHeight="1">
      <c r="AH140" s="2"/>
      <c r="AW140" s="2"/>
      <c r="AX140" s="2"/>
      <c r="AY140" s="2"/>
    </row>
    <row r="141" ht="15.75" customHeight="1">
      <c r="AH141" s="2"/>
      <c r="AW141" s="2"/>
      <c r="AX141" s="2"/>
      <c r="AY141" s="2"/>
    </row>
    <row r="142" ht="15.75" customHeight="1">
      <c r="AH142" s="2"/>
      <c r="AW142" s="2"/>
      <c r="AX142" s="2"/>
      <c r="AY142" s="2"/>
    </row>
    <row r="143" ht="15.75" customHeight="1">
      <c r="AH143" s="2"/>
      <c r="AW143" s="2"/>
      <c r="AX143" s="2"/>
      <c r="AY143" s="2"/>
    </row>
    <row r="144" ht="15.75" customHeight="1">
      <c r="AH144" s="2"/>
      <c r="AW144" s="2"/>
      <c r="AX144" s="2"/>
      <c r="AY144" s="2"/>
    </row>
    <row r="145" ht="15.75" customHeight="1">
      <c r="AH145" s="2"/>
      <c r="AW145" s="2"/>
      <c r="AX145" s="2"/>
      <c r="AY145" s="2"/>
    </row>
    <row r="146" ht="15.75" customHeight="1">
      <c r="AH146" s="2"/>
      <c r="AW146" s="2"/>
      <c r="AX146" s="2"/>
      <c r="AY146" s="2"/>
    </row>
    <row r="147" ht="15.75" customHeight="1">
      <c r="AH147" s="2"/>
      <c r="AW147" s="2"/>
      <c r="AX147" s="2"/>
      <c r="AY147" s="2"/>
    </row>
    <row r="148" ht="15.75" customHeight="1">
      <c r="AH148" s="2"/>
      <c r="AW148" s="2"/>
      <c r="AX148" s="2"/>
      <c r="AY148" s="2"/>
    </row>
    <row r="149" ht="15.75" customHeight="1">
      <c r="AH149" s="2"/>
      <c r="AW149" s="2"/>
      <c r="AX149" s="2"/>
      <c r="AY149" s="2"/>
    </row>
    <row r="150" ht="15.75" customHeight="1">
      <c r="AH150" s="2"/>
      <c r="AW150" s="2"/>
      <c r="AX150" s="2"/>
      <c r="AY150" s="2"/>
    </row>
    <row r="151" ht="15.75" customHeight="1">
      <c r="AH151" s="2"/>
      <c r="AW151" s="2"/>
      <c r="AX151" s="2"/>
      <c r="AY151" s="2"/>
    </row>
    <row r="152" ht="15.75" customHeight="1">
      <c r="AH152" s="2"/>
      <c r="AW152" s="2"/>
      <c r="AX152" s="2"/>
      <c r="AY152" s="2"/>
    </row>
    <row r="153" ht="15.75" customHeight="1">
      <c r="AH153" s="2"/>
      <c r="AW153" s="2"/>
      <c r="AX153" s="2"/>
      <c r="AY153" s="2"/>
    </row>
    <row r="154" ht="15.75" customHeight="1">
      <c r="AH154" s="2"/>
      <c r="AW154" s="2"/>
      <c r="AX154" s="2"/>
      <c r="AY154" s="2"/>
    </row>
    <row r="155" ht="15.75" customHeight="1">
      <c r="AH155" s="2"/>
      <c r="AW155" s="2"/>
      <c r="AX155" s="2"/>
      <c r="AY155" s="2"/>
    </row>
    <row r="156" ht="15.75" customHeight="1">
      <c r="AH156" s="2"/>
      <c r="AW156" s="2"/>
      <c r="AX156" s="2"/>
      <c r="AY156" s="2"/>
    </row>
    <row r="157" ht="15.75" customHeight="1">
      <c r="AH157" s="2"/>
      <c r="AW157" s="2"/>
      <c r="AX157" s="2"/>
      <c r="AY157" s="2"/>
    </row>
    <row r="158" ht="15.75" customHeight="1">
      <c r="AH158" s="2"/>
      <c r="AW158" s="2"/>
      <c r="AX158" s="2"/>
      <c r="AY158" s="2"/>
    </row>
    <row r="159" ht="15.75" customHeight="1">
      <c r="AH159" s="2"/>
      <c r="AW159" s="2"/>
      <c r="AX159" s="2"/>
      <c r="AY159" s="2"/>
    </row>
    <row r="160" ht="15.75" customHeight="1">
      <c r="AH160" s="2"/>
      <c r="AW160" s="2"/>
      <c r="AX160" s="2"/>
      <c r="AY160" s="2"/>
    </row>
    <row r="161" ht="15.75" customHeight="1">
      <c r="AH161" s="2"/>
      <c r="AW161" s="2"/>
      <c r="AX161" s="2"/>
      <c r="AY161" s="2"/>
    </row>
    <row r="162" ht="15.75" customHeight="1">
      <c r="AH162" s="2"/>
      <c r="AW162" s="2"/>
      <c r="AX162" s="2"/>
      <c r="AY162" s="2"/>
    </row>
    <row r="163" ht="15.75" customHeight="1">
      <c r="AH163" s="2"/>
      <c r="AW163" s="2"/>
      <c r="AX163" s="2"/>
      <c r="AY163" s="2"/>
    </row>
    <row r="164" ht="15.75" customHeight="1">
      <c r="AH164" s="2"/>
      <c r="AW164" s="2"/>
      <c r="AX164" s="2"/>
      <c r="AY164" s="2"/>
    </row>
    <row r="165" ht="15.75" customHeight="1">
      <c r="AH165" s="2"/>
      <c r="AW165" s="2"/>
      <c r="AX165" s="2"/>
      <c r="AY165" s="2"/>
    </row>
    <row r="166" ht="15.75" customHeight="1">
      <c r="AH166" s="2"/>
      <c r="AW166" s="2"/>
      <c r="AX166" s="2"/>
      <c r="AY166" s="2"/>
    </row>
    <row r="167" ht="15.75" customHeight="1">
      <c r="AH167" s="2"/>
      <c r="AW167" s="2"/>
      <c r="AX167" s="2"/>
      <c r="AY167" s="2"/>
    </row>
    <row r="168" ht="15.75" customHeight="1">
      <c r="AH168" s="2"/>
      <c r="AW168" s="2"/>
      <c r="AX168" s="2"/>
      <c r="AY168" s="2"/>
    </row>
    <row r="169" ht="15.75" customHeight="1">
      <c r="AH169" s="2"/>
      <c r="AW169" s="2"/>
      <c r="AX169" s="2"/>
      <c r="AY169" s="2"/>
    </row>
    <row r="170" ht="15.75" customHeight="1">
      <c r="AH170" s="2"/>
      <c r="AW170" s="2"/>
      <c r="AX170" s="2"/>
      <c r="AY170" s="2"/>
    </row>
    <row r="171" ht="15.75" customHeight="1">
      <c r="AH171" s="2"/>
      <c r="AW171" s="2"/>
      <c r="AX171" s="2"/>
      <c r="AY171" s="2"/>
    </row>
    <row r="172" ht="15.75" customHeight="1">
      <c r="AH172" s="2"/>
      <c r="AW172" s="2"/>
      <c r="AX172" s="2"/>
      <c r="AY172" s="2"/>
    </row>
    <row r="173" ht="15.75" customHeight="1">
      <c r="AH173" s="2"/>
      <c r="AW173" s="2"/>
      <c r="AX173" s="2"/>
      <c r="AY173" s="2"/>
    </row>
    <row r="174" ht="15.75" customHeight="1">
      <c r="AH174" s="2"/>
      <c r="AW174" s="2"/>
      <c r="AX174" s="2"/>
      <c r="AY174" s="2"/>
    </row>
    <row r="175" ht="15.75" customHeight="1">
      <c r="AH175" s="2"/>
      <c r="AW175" s="2"/>
      <c r="AX175" s="2"/>
      <c r="AY175" s="2"/>
    </row>
    <row r="176" ht="15.75" customHeight="1">
      <c r="AH176" s="2"/>
      <c r="AW176" s="2"/>
      <c r="AX176" s="2"/>
      <c r="AY176" s="2"/>
    </row>
    <row r="177" ht="15.75" customHeight="1">
      <c r="AH177" s="2"/>
      <c r="AW177" s="2"/>
      <c r="AX177" s="2"/>
      <c r="AY177" s="2"/>
    </row>
    <row r="178" ht="15.75" customHeight="1">
      <c r="AH178" s="2"/>
      <c r="AW178" s="2"/>
      <c r="AX178" s="2"/>
      <c r="AY178" s="2"/>
    </row>
    <row r="179" ht="15.75" customHeight="1">
      <c r="AH179" s="2"/>
      <c r="AW179" s="2"/>
      <c r="AX179" s="2"/>
      <c r="AY179" s="2"/>
    </row>
    <row r="180" ht="15.75" customHeight="1">
      <c r="AH180" s="2"/>
      <c r="AW180" s="2"/>
      <c r="AX180" s="2"/>
      <c r="AY180" s="2"/>
    </row>
    <row r="181" ht="15.75" customHeight="1">
      <c r="AH181" s="2"/>
      <c r="AW181" s="2"/>
      <c r="AX181" s="2"/>
      <c r="AY181" s="2"/>
    </row>
    <row r="182" ht="15.75" customHeight="1">
      <c r="AH182" s="2"/>
      <c r="AW182" s="2"/>
      <c r="AX182" s="2"/>
      <c r="AY182" s="2"/>
    </row>
    <row r="183" ht="15.75" customHeight="1">
      <c r="AH183" s="2"/>
      <c r="AW183" s="2"/>
      <c r="AX183" s="2"/>
      <c r="AY183" s="2"/>
    </row>
    <row r="184" ht="15.75" customHeight="1">
      <c r="AH184" s="2"/>
      <c r="AW184" s="2"/>
      <c r="AX184" s="2"/>
      <c r="AY184" s="2"/>
    </row>
    <row r="185" ht="15.75" customHeight="1">
      <c r="AH185" s="2"/>
      <c r="AW185" s="2"/>
      <c r="AX185" s="2"/>
      <c r="AY185" s="2"/>
    </row>
    <row r="186" ht="15.75" customHeight="1">
      <c r="AH186" s="2"/>
      <c r="AW186" s="2"/>
      <c r="AX186" s="2"/>
      <c r="AY186" s="2"/>
    </row>
    <row r="187" ht="15.75" customHeight="1">
      <c r="AH187" s="2"/>
      <c r="AW187" s="2"/>
      <c r="AX187" s="2"/>
      <c r="AY187" s="2"/>
    </row>
    <row r="188" ht="15.75" customHeight="1">
      <c r="AH188" s="2"/>
      <c r="AW188" s="2"/>
      <c r="AX188" s="2"/>
      <c r="AY188" s="2"/>
    </row>
    <row r="189" ht="15.75" customHeight="1">
      <c r="AH189" s="2"/>
      <c r="AW189" s="2"/>
      <c r="AX189" s="2"/>
      <c r="AY189" s="2"/>
    </row>
    <row r="190" ht="15.75" customHeight="1">
      <c r="AH190" s="2"/>
      <c r="AW190" s="2"/>
      <c r="AX190" s="2"/>
      <c r="AY190" s="2"/>
    </row>
    <row r="191" ht="15.75" customHeight="1">
      <c r="AH191" s="2"/>
      <c r="AW191" s="2"/>
      <c r="AX191" s="2"/>
      <c r="AY191" s="2"/>
    </row>
    <row r="192" ht="15.75" customHeight="1">
      <c r="AH192" s="2"/>
      <c r="AW192" s="2"/>
      <c r="AX192" s="2"/>
      <c r="AY192" s="2"/>
    </row>
    <row r="193" ht="15.75" customHeight="1">
      <c r="AH193" s="2"/>
      <c r="AW193" s="2"/>
      <c r="AX193" s="2"/>
      <c r="AY193" s="2"/>
    </row>
    <row r="194" ht="15.75" customHeight="1">
      <c r="AH194" s="2"/>
      <c r="AW194" s="2"/>
      <c r="AX194" s="2"/>
      <c r="AY194" s="2"/>
    </row>
    <row r="195" ht="15.75" customHeight="1">
      <c r="AH195" s="2"/>
      <c r="AW195" s="2"/>
      <c r="AX195" s="2"/>
      <c r="AY195" s="2"/>
    </row>
    <row r="196" ht="15.75" customHeight="1">
      <c r="AH196" s="2"/>
      <c r="AW196" s="2"/>
      <c r="AX196" s="2"/>
      <c r="AY196" s="2"/>
    </row>
    <row r="197" ht="15.75" customHeight="1">
      <c r="AH197" s="2"/>
      <c r="AW197" s="2"/>
      <c r="AX197" s="2"/>
      <c r="AY197" s="2"/>
    </row>
    <row r="198" ht="15.75" customHeight="1">
      <c r="AH198" s="2"/>
      <c r="AW198" s="2"/>
      <c r="AX198" s="2"/>
      <c r="AY198" s="2"/>
    </row>
    <row r="199" ht="15.75" customHeight="1">
      <c r="AH199" s="2"/>
      <c r="AW199" s="2"/>
      <c r="AX199" s="2"/>
      <c r="AY199" s="2"/>
    </row>
    <row r="200" ht="15.75" customHeight="1">
      <c r="AH200" s="2"/>
      <c r="AW200" s="2"/>
      <c r="AX200" s="2"/>
      <c r="AY200" s="2"/>
    </row>
    <row r="201" ht="15.75" customHeight="1">
      <c r="AH201" s="2"/>
      <c r="AW201" s="2"/>
      <c r="AX201" s="2"/>
      <c r="AY201" s="2"/>
    </row>
    <row r="202" ht="15.75" customHeight="1">
      <c r="AH202" s="2"/>
      <c r="AW202" s="2"/>
      <c r="AX202" s="2"/>
      <c r="AY202" s="2"/>
    </row>
    <row r="203" ht="15.75" customHeight="1">
      <c r="AH203" s="2"/>
      <c r="AW203" s="2"/>
      <c r="AX203" s="2"/>
      <c r="AY203" s="2"/>
    </row>
    <row r="204" ht="15.75" customHeight="1">
      <c r="AH204" s="2"/>
      <c r="AW204" s="2"/>
      <c r="AX204" s="2"/>
      <c r="AY204" s="2"/>
    </row>
    <row r="205" ht="15.75" customHeight="1">
      <c r="AH205" s="2"/>
      <c r="AW205" s="2"/>
      <c r="AX205" s="2"/>
      <c r="AY205" s="2"/>
    </row>
    <row r="206" ht="15.75" customHeight="1">
      <c r="AH206" s="2"/>
      <c r="AW206" s="2"/>
      <c r="AX206" s="2"/>
      <c r="AY206" s="2"/>
    </row>
    <row r="207" ht="15.75" customHeight="1">
      <c r="AH207" s="2"/>
      <c r="AW207" s="2"/>
      <c r="AX207" s="2"/>
      <c r="AY207" s="2"/>
    </row>
    <row r="208" ht="15.75" customHeight="1">
      <c r="AH208" s="2"/>
      <c r="AW208" s="2"/>
      <c r="AX208" s="2"/>
      <c r="AY208" s="2"/>
    </row>
    <row r="209" ht="15.75" customHeight="1">
      <c r="AH209" s="2"/>
      <c r="AW209" s="2"/>
      <c r="AX209" s="2"/>
      <c r="AY209" s="2"/>
    </row>
    <row r="210" ht="15.75" customHeight="1">
      <c r="AH210" s="2"/>
      <c r="AW210" s="2"/>
      <c r="AX210" s="2"/>
      <c r="AY210" s="2"/>
    </row>
    <row r="211" ht="15.75" customHeight="1">
      <c r="AH211" s="2"/>
      <c r="AW211" s="2"/>
      <c r="AX211" s="2"/>
      <c r="AY211" s="2"/>
    </row>
    <row r="212" ht="15.75" customHeight="1">
      <c r="AH212" s="2"/>
      <c r="AW212" s="2"/>
      <c r="AX212" s="2"/>
      <c r="AY212" s="2"/>
    </row>
    <row r="213" ht="15.75" customHeight="1">
      <c r="AH213" s="2"/>
      <c r="AW213" s="2"/>
      <c r="AX213" s="2"/>
      <c r="AY213" s="2"/>
    </row>
    <row r="214" ht="15.75" customHeight="1">
      <c r="AH214" s="2"/>
      <c r="AW214" s="2"/>
      <c r="AX214" s="2"/>
      <c r="AY214" s="2"/>
    </row>
    <row r="215" ht="15.75" customHeight="1">
      <c r="AH215" s="2"/>
      <c r="AW215" s="2"/>
      <c r="AX215" s="2"/>
      <c r="AY215" s="2"/>
    </row>
    <row r="216" ht="15.75" customHeight="1">
      <c r="AH216" s="2"/>
      <c r="AW216" s="2"/>
      <c r="AX216" s="2"/>
      <c r="AY216" s="2"/>
    </row>
    <row r="217" ht="15.75" customHeight="1">
      <c r="AH217" s="2"/>
      <c r="AW217" s="2"/>
      <c r="AX217" s="2"/>
      <c r="AY217" s="2"/>
    </row>
    <row r="218" ht="15.75" customHeight="1">
      <c r="AH218" s="2"/>
      <c r="AW218" s="2"/>
      <c r="AX218" s="2"/>
      <c r="AY218" s="2"/>
    </row>
    <row r="219" ht="15.75" customHeight="1">
      <c r="AH219" s="2"/>
      <c r="AW219" s="2"/>
      <c r="AX219" s="2"/>
      <c r="AY219" s="2"/>
    </row>
    <row r="220" ht="15.75" customHeight="1">
      <c r="AH220" s="2"/>
      <c r="AW220" s="2"/>
      <c r="AX220" s="2"/>
      <c r="AY220" s="2"/>
    </row>
    <row r="221" ht="15.75" customHeight="1">
      <c r="AH221" s="2"/>
      <c r="AW221" s="2"/>
      <c r="AX221" s="2"/>
      <c r="AY221" s="2"/>
    </row>
    <row r="222" ht="15.75" customHeight="1">
      <c r="AH222" s="2"/>
      <c r="AW222" s="2"/>
      <c r="AX222" s="2"/>
      <c r="AY222" s="2"/>
    </row>
    <row r="223" ht="15.75" customHeight="1">
      <c r="AH223" s="2"/>
      <c r="AW223" s="2"/>
      <c r="AX223" s="2"/>
      <c r="AY223" s="2"/>
    </row>
    <row r="224" ht="15.75" customHeight="1">
      <c r="AH224" s="2"/>
      <c r="AW224" s="2"/>
      <c r="AX224" s="2"/>
      <c r="AY224" s="2"/>
    </row>
    <row r="225" ht="15.75" customHeight="1">
      <c r="AH225" s="2"/>
      <c r="AW225" s="2"/>
      <c r="AX225" s="2"/>
      <c r="AY225" s="2"/>
    </row>
    <row r="226" ht="15.75" customHeight="1">
      <c r="AH226" s="2"/>
      <c r="AW226" s="2"/>
      <c r="AX226" s="2"/>
      <c r="AY226" s="2"/>
    </row>
    <row r="227" ht="15.75" customHeight="1">
      <c r="AH227" s="2"/>
      <c r="AW227" s="2"/>
      <c r="AX227" s="2"/>
      <c r="AY227" s="2"/>
    </row>
    <row r="228" ht="15.75" customHeight="1">
      <c r="AH228" s="2"/>
      <c r="AW228" s="2"/>
      <c r="AX228" s="2"/>
      <c r="AY228" s="2"/>
    </row>
    <row r="229" ht="15.75" customHeight="1">
      <c r="AH229" s="2"/>
      <c r="AW229" s="2"/>
      <c r="AX229" s="2"/>
      <c r="AY229" s="2"/>
    </row>
    <row r="230" ht="15.75" customHeight="1">
      <c r="AH230" s="2"/>
      <c r="AW230" s="2"/>
      <c r="AX230" s="2"/>
      <c r="AY230" s="2"/>
    </row>
    <row r="231" ht="15.75" customHeight="1">
      <c r="AH231" s="2"/>
      <c r="AW231" s="2"/>
      <c r="AX231" s="2"/>
      <c r="AY231" s="2"/>
    </row>
    <row r="232" ht="15.75" customHeight="1">
      <c r="AH232" s="2"/>
      <c r="AW232" s="2"/>
      <c r="AX232" s="2"/>
      <c r="AY232" s="2"/>
    </row>
    <row r="233" ht="15.75" customHeight="1">
      <c r="AH233" s="2"/>
      <c r="AW233" s="2"/>
      <c r="AX233" s="2"/>
      <c r="AY233" s="2"/>
    </row>
    <row r="234" ht="15.75" customHeight="1">
      <c r="AH234" s="2"/>
      <c r="AW234" s="2"/>
      <c r="AX234" s="2"/>
      <c r="AY234" s="2"/>
    </row>
    <row r="235" ht="15.75" customHeight="1">
      <c r="AH235" s="2"/>
      <c r="AW235" s="2"/>
      <c r="AX235" s="2"/>
      <c r="AY235" s="2"/>
    </row>
    <row r="236" ht="15.75" customHeight="1">
      <c r="AH236" s="2"/>
      <c r="AW236" s="2"/>
      <c r="AX236" s="2"/>
      <c r="AY236" s="2"/>
    </row>
    <row r="237" ht="15.75" customHeight="1">
      <c r="AH237" s="2"/>
      <c r="AW237" s="2"/>
      <c r="AX237" s="2"/>
      <c r="AY237" s="2"/>
    </row>
    <row r="238" ht="15.75" customHeight="1">
      <c r="AH238" s="2"/>
      <c r="AW238" s="2"/>
      <c r="AX238" s="2"/>
      <c r="AY238" s="2"/>
    </row>
    <row r="239" ht="15.75" customHeight="1">
      <c r="AH239" s="2"/>
      <c r="AW239" s="2"/>
      <c r="AX239" s="2"/>
      <c r="AY239" s="2"/>
    </row>
    <row r="240" ht="15.75" customHeight="1">
      <c r="AH240" s="2"/>
      <c r="AW240" s="2"/>
      <c r="AX240" s="2"/>
      <c r="AY240" s="2"/>
    </row>
    <row r="241" ht="15.75" customHeight="1">
      <c r="AH241" s="2"/>
      <c r="AW241" s="2"/>
      <c r="AX241" s="2"/>
      <c r="AY241" s="2"/>
    </row>
    <row r="242" ht="15.75" customHeight="1">
      <c r="AH242" s="2"/>
      <c r="AW242" s="2"/>
      <c r="AX242" s="2"/>
      <c r="AY242" s="2"/>
    </row>
    <row r="243" ht="15.75" customHeight="1">
      <c r="AH243" s="2"/>
      <c r="AW243" s="2"/>
      <c r="AX243" s="2"/>
      <c r="AY243" s="2"/>
    </row>
    <row r="244" ht="15.75" customHeight="1">
      <c r="AH244" s="2"/>
      <c r="AW244" s="2"/>
      <c r="AX244" s="2"/>
      <c r="AY244" s="2"/>
    </row>
    <row r="245" ht="15.75" customHeight="1">
      <c r="AH245" s="2"/>
      <c r="AW245" s="2"/>
      <c r="AX245" s="2"/>
      <c r="AY245" s="2"/>
    </row>
    <row r="246" ht="15.75" customHeight="1">
      <c r="AH246" s="2"/>
      <c r="AW246" s="2"/>
      <c r="AX246" s="2"/>
      <c r="AY246" s="2"/>
    </row>
    <row r="247" ht="15.75" customHeight="1">
      <c r="AH247" s="2"/>
      <c r="AW247" s="2"/>
      <c r="AX247" s="2"/>
      <c r="AY247" s="2"/>
    </row>
    <row r="248" ht="15.75" customHeight="1">
      <c r="AH248" s="2"/>
      <c r="AW248" s="2"/>
      <c r="AX248" s="2"/>
      <c r="AY248" s="2"/>
    </row>
    <row r="249" ht="15.75" customHeight="1">
      <c r="AH249" s="2"/>
      <c r="AW249" s="2"/>
      <c r="AX249" s="2"/>
      <c r="AY249" s="2"/>
    </row>
    <row r="250" ht="15.75" customHeight="1">
      <c r="AH250" s="2"/>
      <c r="AW250" s="2"/>
      <c r="AX250" s="2"/>
      <c r="AY250" s="2"/>
    </row>
    <row r="251" ht="15.75" customHeight="1">
      <c r="AH251" s="2"/>
      <c r="AW251" s="2"/>
      <c r="AX251" s="2"/>
      <c r="AY251" s="2"/>
    </row>
    <row r="252" ht="15.75" customHeight="1">
      <c r="AH252" s="2"/>
      <c r="AW252" s="2"/>
      <c r="AX252" s="2"/>
      <c r="AY252" s="2"/>
    </row>
    <row r="253" ht="15.75" customHeight="1">
      <c r="AH253" s="2"/>
      <c r="AW253" s="2"/>
      <c r="AX253" s="2"/>
      <c r="AY253" s="2"/>
    </row>
    <row r="254" ht="15.75" customHeight="1">
      <c r="AH254" s="2"/>
      <c r="AW254" s="2"/>
      <c r="AX254" s="2"/>
      <c r="AY254" s="2"/>
    </row>
    <row r="255" ht="15.75" customHeight="1">
      <c r="AH255" s="2"/>
      <c r="AW255" s="2"/>
      <c r="AX255" s="2"/>
      <c r="AY255" s="2"/>
    </row>
    <row r="256" ht="15.75" customHeight="1">
      <c r="AH256" s="2"/>
      <c r="AW256" s="2"/>
      <c r="AX256" s="2"/>
      <c r="AY256" s="2"/>
    </row>
    <row r="257" ht="15.75" customHeight="1">
      <c r="AH257" s="2"/>
      <c r="AW257" s="2"/>
      <c r="AX257" s="2"/>
      <c r="AY257" s="2"/>
    </row>
    <row r="258" ht="15.75" customHeight="1">
      <c r="AH258" s="2"/>
      <c r="AW258" s="2"/>
      <c r="AX258" s="2"/>
      <c r="AY258" s="2"/>
    </row>
    <row r="259" ht="15.75" customHeight="1">
      <c r="AH259" s="2"/>
      <c r="AW259" s="2"/>
      <c r="AX259" s="2"/>
      <c r="AY259" s="2"/>
    </row>
    <row r="260" ht="15.75" customHeight="1">
      <c r="AH260" s="2"/>
      <c r="AW260" s="2"/>
      <c r="AX260" s="2"/>
      <c r="AY260" s="2"/>
    </row>
    <row r="261" ht="15.75" customHeight="1">
      <c r="AH261" s="2"/>
      <c r="AW261" s="2"/>
      <c r="AX261" s="2"/>
      <c r="AY261" s="2"/>
    </row>
    <row r="262" ht="15.75" customHeight="1">
      <c r="AH262" s="2"/>
      <c r="AW262" s="2"/>
      <c r="AX262" s="2"/>
      <c r="AY262" s="2"/>
    </row>
    <row r="263" ht="15.75" customHeight="1">
      <c r="AH263" s="2"/>
      <c r="AW263" s="2"/>
      <c r="AX263" s="2"/>
      <c r="AY263" s="2"/>
    </row>
    <row r="264" ht="15.75" customHeight="1">
      <c r="AH264" s="2"/>
      <c r="AW264" s="2"/>
      <c r="AX264" s="2"/>
      <c r="AY264" s="2"/>
    </row>
    <row r="265" ht="15.75" customHeight="1">
      <c r="AH265" s="2"/>
      <c r="AW265" s="2"/>
      <c r="AX265" s="2"/>
      <c r="AY265" s="2"/>
    </row>
    <row r="266" ht="15.75" customHeight="1">
      <c r="AH266" s="2"/>
      <c r="AW266" s="2"/>
      <c r="AX266" s="2"/>
      <c r="AY266" s="2"/>
    </row>
    <row r="267" ht="15.75" customHeight="1">
      <c r="AH267" s="2"/>
      <c r="AW267" s="2"/>
      <c r="AX267" s="2"/>
      <c r="AY267" s="2"/>
    </row>
    <row r="268" ht="15.75" customHeight="1">
      <c r="AH268" s="2"/>
      <c r="AW268" s="2"/>
      <c r="AX268" s="2"/>
      <c r="AY268" s="2"/>
    </row>
    <row r="269" ht="15.75" customHeight="1">
      <c r="AH269" s="2"/>
      <c r="AW269" s="2"/>
      <c r="AX269" s="2"/>
      <c r="AY269" s="2"/>
    </row>
    <row r="270" ht="15.75" customHeight="1">
      <c r="AH270" s="2"/>
      <c r="AW270" s="2"/>
      <c r="AX270" s="2"/>
      <c r="AY270" s="2"/>
    </row>
    <row r="271" ht="15.75" customHeight="1">
      <c r="AH271" s="2"/>
      <c r="AW271" s="2"/>
      <c r="AX271" s="2"/>
      <c r="AY271" s="2"/>
    </row>
    <row r="272" ht="15.75" customHeight="1">
      <c r="AH272" s="2"/>
      <c r="AW272" s="2"/>
      <c r="AX272" s="2"/>
      <c r="AY272" s="2"/>
    </row>
    <row r="273" ht="15.75" customHeight="1">
      <c r="AH273" s="2"/>
      <c r="AW273" s="2"/>
      <c r="AX273" s="2"/>
      <c r="AY273" s="2"/>
    </row>
    <row r="274" ht="15.75" customHeight="1">
      <c r="AH274" s="2"/>
      <c r="AW274" s="2"/>
      <c r="AX274" s="2"/>
      <c r="AY274" s="2"/>
    </row>
    <row r="275" ht="15.75" customHeight="1">
      <c r="AH275" s="2"/>
      <c r="AW275" s="2"/>
      <c r="AX275" s="2"/>
      <c r="AY275" s="2"/>
    </row>
    <row r="276" ht="15.75" customHeight="1">
      <c r="AH276" s="2"/>
      <c r="AW276" s="2"/>
      <c r="AX276" s="2"/>
      <c r="AY276" s="2"/>
    </row>
    <row r="277" ht="15.75" customHeight="1">
      <c r="AH277" s="2"/>
      <c r="AW277" s="2"/>
      <c r="AX277" s="2"/>
      <c r="AY277" s="2"/>
    </row>
    <row r="278" ht="15.75" customHeight="1">
      <c r="AH278" s="2"/>
      <c r="AW278" s="2"/>
      <c r="AX278" s="2"/>
      <c r="AY278" s="2"/>
    </row>
    <row r="279" ht="15.75" customHeight="1">
      <c r="AH279" s="2"/>
      <c r="AW279" s="2"/>
      <c r="AX279" s="2"/>
      <c r="AY279" s="2"/>
    </row>
    <row r="280" ht="15.75" customHeight="1">
      <c r="AH280" s="2"/>
      <c r="AW280" s="2"/>
      <c r="AX280" s="2"/>
      <c r="AY280" s="2"/>
    </row>
    <row r="281" ht="15.75" customHeight="1">
      <c r="AH281" s="2"/>
      <c r="AW281" s="2"/>
      <c r="AX281" s="2"/>
      <c r="AY281" s="2"/>
    </row>
    <row r="282" ht="15.75" customHeight="1">
      <c r="AH282" s="2"/>
      <c r="AW282" s="2"/>
      <c r="AX282" s="2"/>
      <c r="AY282" s="2"/>
    </row>
    <row r="283" ht="15.75" customHeight="1">
      <c r="AH283" s="2"/>
      <c r="AW283" s="2"/>
      <c r="AX283" s="2"/>
      <c r="AY283" s="2"/>
    </row>
    <row r="284" ht="15.75" customHeight="1">
      <c r="AH284" s="2"/>
      <c r="AW284" s="2"/>
      <c r="AX284" s="2"/>
      <c r="AY284" s="2"/>
    </row>
    <row r="285" ht="15.75" customHeight="1">
      <c r="AH285" s="2"/>
      <c r="AW285" s="2"/>
      <c r="AX285" s="2"/>
      <c r="AY285" s="2"/>
    </row>
    <row r="286" ht="15.75" customHeight="1">
      <c r="AH286" s="2"/>
      <c r="AW286" s="2"/>
      <c r="AX286" s="2"/>
      <c r="AY286" s="2"/>
    </row>
    <row r="287" ht="15.75" customHeight="1">
      <c r="AH287" s="2"/>
      <c r="AW287" s="2"/>
      <c r="AX287" s="2"/>
      <c r="AY287" s="2"/>
    </row>
    <row r="288" ht="15.75" customHeight="1">
      <c r="AH288" s="2"/>
      <c r="AW288" s="2"/>
      <c r="AX288" s="2"/>
      <c r="AY288" s="2"/>
    </row>
    <row r="289" ht="15.75" customHeight="1">
      <c r="AH289" s="2"/>
      <c r="AW289" s="2"/>
      <c r="AX289" s="2"/>
      <c r="AY289" s="2"/>
    </row>
    <row r="290" ht="15.75" customHeight="1">
      <c r="AH290" s="2"/>
      <c r="AW290" s="2"/>
      <c r="AX290" s="2"/>
      <c r="AY290" s="2"/>
    </row>
    <row r="291" ht="15.75" customHeight="1">
      <c r="AH291" s="2"/>
      <c r="AW291" s="2"/>
      <c r="AX291" s="2"/>
      <c r="AY291" s="2"/>
    </row>
    <row r="292" ht="15.75" customHeight="1">
      <c r="AH292" s="2"/>
      <c r="AW292" s="2"/>
      <c r="AX292" s="2"/>
      <c r="AY292" s="2"/>
    </row>
    <row r="293" ht="15.75" customHeight="1">
      <c r="AH293" s="2"/>
      <c r="AW293" s="2"/>
      <c r="AX293" s="2"/>
      <c r="AY293" s="2"/>
    </row>
    <row r="294" ht="15.75" customHeight="1">
      <c r="AH294" s="2"/>
      <c r="AW294" s="2"/>
      <c r="AX294" s="2"/>
      <c r="AY294" s="2"/>
    </row>
    <row r="295" ht="15.75" customHeight="1">
      <c r="AH295" s="2"/>
      <c r="AW295" s="2"/>
      <c r="AX295" s="2"/>
      <c r="AY295" s="2"/>
    </row>
    <row r="296" ht="15.75" customHeight="1">
      <c r="AH296" s="2"/>
      <c r="AW296" s="2"/>
      <c r="AX296" s="2"/>
      <c r="AY296" s="2"/>
    </row>
    <row r="297" ht="15.75" customHeight="1">
      <c r="AH297" s="2"/>
      <c r="AW297" s="2"/>
      <c r="AX297" s="2"/>
      <c r="AY297" s="2"/>
    </row>
    <row r="298" ht="15.75" customHeight="1">
      <c r="AH298" s="2"/>
      <c r="AW298" s="2"/>
      <c r="AX298" s="2"/>
      <c r="AY298" s="2"/>
    </row>
    <row r="299" ht="15.75" customHeight="1">
      <c r="AH299" s="2"/>
      <c r="AW299" s="2"/>
      <c r="AX299" s="2"/>
      <c r="AY299" s="2"/>
    </row>
    <row r="300" ht="15.75" customHeight="1">
      <c r="AH300" s="2"/>
      <c r="AW300" s="2"/>
      <c r="AX300" s="2"/>
      <c r="AY300" s="2"/>
    </row>
    <row r="301" ht="15.75" customHeight="1">
      <c r="AH301" s="2"/>
      <c r="AW301" s="2"/>
      <c r="AX301" s="2"/>
      <c r="AY301" s="2"/>
    </row>
    <row r="302" ht="15.75" customHeight="1">
      <c r="AH302" s="2"/>
      <c r="AW302" s="2"/>
      <c r="AX302" s="2"/>
      <c r="AY302" s="2"/>
    </row>
    <row r="303" ht="15.75" customHeight="1">
      <c r="AH303" s="2"/>
      <c r="AW303" s="2"/>
      <c r="AX303" s="2"/>
      <c r="AY303" s="2"/>
    </row>
    <row r="304" ht="15.75" customHeight="1">
      <c r="AH304" s="2"/>
      <c r="AW304" s="2"/>
      <c r="AX304" s="2"/>
      <c r="AY304" s="2"/>
    </row>
    <row r="305" ht="15.75" customHeight="1">
      <c r="AH305" s="2"/>
      <c r="AW305" s="2"/>
      <c r="AX305" s="2"/>
      <c r="AY305" s="2"/>
    </row>
    <row r="306" ht="15.75" customHeight="1">
      <c r="AH306" s="2"/>
      <c r="AW306" s="2"/>
      <c r="AX306" s="2"/>
      <c r="AY306" s="2"/>
    </row>
    <row r="307" ht="15.75" customHeight="1">
      <c r="AH307" s="2"/>
      <c r="AW307" s="2"/>
      <c r="AX307" s="2"/>
      <c r="AY307" s="2"/>
    </row>
    <row r="308" ht="15.75" customHeight="1">
      <c r="AH308" s="2"/>
      <c r="AW308" s="2"/>
      <c r="AX308" s="2"/>
      <c r="AY308" s="2"/>
    </row>
    <row r="309" ht="15.75" customHeight="1">
      <c r="AH309" s="2"/>
      <c r="AW309" s="2"/>
      <c r="AX309" s="2"/>
      <c r="AY309" s="2"/>
    </row>
    <row r="310" ht="15.75" customHeight="1">
      <c r="AH310" s="2"/>
      <c r="AW310" s="2"/>
      <c r="AX310" s="2"/>
      <c r="AY310" s="2"/>
    </row>
    <row r="311" ht="15.75" customHeight="1">
      <c r="AH311" s="2"/>
      <c r="AW311" s="2"/>
      <c r="AX311" s="2"/>
      <c r="AY311" s="2"/>
    </row>
    <row r="312" ht="15.75" customHeight="1">
      <c r="AH312" s="2"/>
      <c r="AW312" s="2"/>
      <c r="AX312" s="2"/>
      <c r="AY312" s="2"/>
    </row>
    <row r="313" ht="15.75" customHeight="1">
      <c r="AH313" s="2"/>
      <c r="AW313" s="2"/>
      <c r="AX313" s="2"/>
      <c r="AY313" s="2"/>
    </row>
    <row r="314" ht="15.75" customHeight="1">
      <c r="AH314" s="2"/>
      <c r="AW314" s="2"/>
      <c r="AX314" s="2"/>
      <c r="AY314" s="2"/>
    </row>
    <row r="315" ht="15.75" customHeight="1">
      <c r="AH315" s="2"/>
      <c r="AW315" s="2"/>
      <c r="AX315" s="2"/>
      <c r="AY315" s="2"/>
    </row>
    <row r="316" ht="15.75" customHeight="1">
      <c r="AH316" s="2"/>
      <c r="AW316" s="2"/>
      <c r="AX316" s="2"/>
      <c r="AY316" s="2"/>
    </row>
    <row r="317" ht="15.75" customHeight="1">
      <c r="AH317" s="2"/>
      <c r="AW317" s="2"/>
      <c r="AX317" s="2"/>
      <c r="AY317" s="2"/>
    </row>
    <row r="318" ht="15.75" customHeight="1">
      <c r="AH318" s="2"/>
      <c r="AW318" s="2"/>
      <c r="AX318" s="2"/>
      <c r="AY318" s="2"/>
    </row>
    <row r="319" ht="15.75" customHeight="1">
      <c r="AH319" s="2"/>
      <c r="AW319" s="2"/>
      <c r="AX319" s="2"/>
      <c r="AY319" s="2"/>
    </row>
    <row r="320" ht="15.75" customHeight="1">
      <c r="AH320" s="2"/>
      <c r="AW320" s="2"/>
      <c r="AX320" s="2"/>
      <c r="AY320" s="2"/>
    </row>
    <row r="321" ht="15.75" customHeight="1">
      <c r="AH321" s="2"/>
      <c r="AW321" s="2"/>
      <c r="AX321" s="2"/>
      <c r="AY321" s="2"/>
    </row>
    <row r="322" ht="15.75" customHeight="1">
      <c r="AH322" s="2"/>
      <c r="AW322" s="2"/>
      <c r="AX322" s="2"/>
      <c r="AY322" s="2"/>
    </row>
    <row r="323" ht="15.75" customHeight="1">
      <c r="AH323" s="2"/>
      <c r="AW323" s="2"/>
      <c r="AX323" s="2"/>
      <c r="AY323" s="2"/>
    </row>
    <row r="324" ht="15.75" customHeight="1">
      <c r="AH324" s="2"/>
      <c r="AW324" s="2"/>
      <c r="AX324" s="2"/>
      <c r="AY324" s="2"/>
    </row>
    <row r="325" ht="15.75" customHeight="1">
      <c r="AH325" s="2"/>
      <c r="AW325" s="2"/>
      <c r="AX325" s="2"/>
      <c r="AY325" s="2"/>
    </row>
    <row r="326" ht="15.75" customHeight="1">
      <c r="AH326" s="2"/>
      <c r="AW326" s="2"/>
      <c r="AX326" s="2"/>
      <c r="AY326" s="2"/>
    </row>
    <row r="327" ht="15.75" customHeight="1">
      <c r="AH327" s="2"/>
      <c r="AW327" s="2"/>
      <c r="AX327" s="2"/>
      <c r="AY327" s="2"/>
    </row>
    <row r="328" ht="15.75" customHeight="1">
      <c r="AH328" s="2"/>
      <c r="AW328" s="2"/>
      <c r="AX328" s="2"/>
      <c r="AY328" s="2"/>
    </row>
    <row r="329" ht="15.75" customHeight="1">
      <c r="AH329" s="2"/>
      <c r="AW329" s="2"/>
      <c r="AX329" s="2"/>
      <c r="AY329" s="2"/>
    </row>
    <row r="330" ht="15.75" customHeight="1">
      <c r="AH330" s="2"/>
      <c r="AW330" s="2"/>
      <c r="AX330" s="2"/>
      <c r="AY330" s="2"/>
    </row>
    <row r="331" ht="15.75" customHeight="1">
      <c r="AH331" s="2"/>
      <c r="AW331" s="2"/>
      <c r="AX331" s="2"/>
      <c r="AY331" s="2"/>
    </row>
    <row r="332" ht="15.75" customHeight="1">
      <c r="AH332" s="2"/>
      <c r="AW332" s="2"/>
      <c r="AX332" s="2"/>
      <c r="AY332" s="2"/>
    </row>
    <row r="333" ht="15.75" customHeight="1">
      <c r="AH333" s="2"/>
      <c r="AW333" s="2"/>
      <c r="AX333" s="2"/>
      <c r="AY333" s="2"/>
    </row>
    <row r="334" ht="15.75" customHeight="1">
      <c r="AH334" s="2"/>
      <c r="AW334" s="2"/>
      <c r="AX334" s="2"/>
      <c r="AY334" s="2"/>
    </row>
    <row r="335" ht="15.75" customHeight="1">
      <c r="AH335" s="2"/>
      <c r="AW335" s="2"/>
      <c r="AX335" s="2"/>
      <c r="AY335" s="2"/>
    </row>
    <row r="336" ht="15.75" customHeight="1">
      <c r="AH336" s="2"/>
      <c r="AW336" s="2"/>
      <c r="AX336" s="2"/>
      <c r="AY336" s="2"/>
    </row>
    <row r="337" ht="15.75" customHeight="1">
      <c r="AH337" s="2"/>
      <c r="AW337" s="2"/>
      <c r="AX337" s="2"/>
      <c r="AY337" s="2"/>
    </row>
    <row r="338" ht="15.75" customHeight="1">
      <c r="AH338" s="2"/>
      <c r="AW338" s="2"/>
      <c r="AX338" s="2"/>
      <c r="AY338" s="2"/>
    </row>
    <row r="339" ht="15.75" customHeight="1">
      <c r="AH339" s="2"/>
      <c r="AW339" s="2"/>
      <c r="AX339" s="2"/>
      <c r="AY339" s="2"/>
    </row>
    <row r="340" ht="15.75" customHeight="1">
      <c r="AH340" s="2"/>
      <c r="AW340" s="2"/>
      <c r="AX340" s="2"/>
      <c r="AY340" s="2"/>
    </row>
    <row r="341" ht="15.75" customHeight="1">
      <c r="AH341" s="2"/>
      <c r="AW341" s="2"/>
      <c r="AX341" s="2"/>
      <c r="AY341" s="2"/>
    </row>
    <row r="342" ht="15.75" customHeight="1">
      <c r="AH342" s="2"/>
      <c r="AW342" s="2"/>
      <c r="AX342" s="2"/>
      <c r="AY342" s="2"/>
    </row>
    <row r="343" ht="15.75" customHeight="1">
      <c r="AH343" s="2"/>
      <c r="AW343" s="2"/>
      <c r="AX343" s="2"/>
      <c r="AY343" s="2"/>
    </row>
    <row r="344" ht="15.75" customHeight="1">
      <c r="AH344" s="2"/>
      <c r="AW344" s="2"/>
      <c r="AX344" s="2"/>
      <c r="AY344" s="2"/>
    </row>
    <row r="345" ht="15.75" customHeight="1">
      <c r="AH345" s="2"/>
      <c r="AW345" s="2"/>
      <c r="AX345" s="2"/>
      <c r="AY345" s="2"/>
    </row>
    <row r="346" ht="15.75" customHeight="1">
      <c r="AH346" s="2"/>
      <c r="AW346" s="2"/>
      <c r="AX346" s="2"/>
      <c r="AY346" s="2"/>
    </row>
    <row r="347" ht="15.75" customHeight="1">
      <c r="AH347" s="2"/>
      <c r="AW347" s="2"/>
      <c r="AX347" s="2"/>
      <c r="AY347" s="2"/>
    </row>
    <row r="348" ht="15.75" customHeight="1">
      <c r="AH348" s="2"/>
      <c r="AW348" s="2"/>
      <c r="AX348" s="2"/>
      <c r="AY348" s="2"/>
    </row>
    <row r="349" ht="15.75" customHeight="1">
      <c r="AH349" s="2"/>
      <c r="AW349" s="2"/>
      <c r="AX349" s="2"/>
      <c r="AY349" s="2"/>
    </row>
    <row r="350" ht="15.75" customHeight="1">
      <c r="AH350" s="2"/>
      <c r="AW350" s="2"/>
      <c r="AX350" s="2"/>
      <c r="AY350" s="2"/>
    </row>
    <row r="351" ht="15.75" customHeight="1">
      <c r="AH351" s="2"/>
      <c r="AW351" s="2"/>
      <c r="AX351" s="2"/>
      <c r="AY351" s="2"/>
    </row>
    <row r="352" ht="15.75" customHeight="1">
      <c r="AH352" s="2"/>
      <c r="AW352" s="2"/>
      <c r="AX352" s="2"/>
      <c r="AY352" s="2"/>
    </row>
    <row r="353" ht="15.75" customHeight="1">
      <c r="AH353" s="2"/>
      <c r="AW353" s="2"/>
      <c r="AX353" s="2"/>
      <c r="AY353" s="2"/>
    </row>
    <row r="354" ht="15.75" customHeight="1">
      <c r="AH354" s="2"/>
      <c r="AW354" s="2"/>
      <c r="AX354" s="2"/>
      <c r="AY354" s="2"/>
    </row>
    <row r="355" ht="15.75" customHeight="1">
      <c r="AH355" s="2"/>
      <c r="AW355" s="2"/>
      <c r="AX355" s="2"/>
      <c r="AY355" s="2"/>
    </row>
    <row r="356" ht="15.75" customHeight="1">
      <c r="AH356" s="2"/>
      <c r="AW356" s="2"/>
      <c r="AX356" s="2"/>
      <c r="AY356" s="2"/>
    </row>
    <row r="357" ht="15.75" customHeight="1">
      <c r="AH357" s="2"/>
      <c r="AW357" s="2"/>
      <c r="AX357" s="2"/>
      <c r="AY357" s="2"/>
    </row>
    <row r="358" ht="15.75" customHeight="1">
      <c r="AH358" s="2"/>
      <c r="AW358" s="2"/>
      <c r="AX358" s="2"/>
      <c r="AY358" s="2"/>
    </row>
    <row r="359" ht="15.75" customHeight="1">
      <c r="AH359" s="2"/>
      <c r="AW359" s="2"/>
      <c r="AX359" s="2"/>
      <c r="AY359" s="2"/>
    </row>
    <row r="360" ht="15.75" customHeight="1">
      <c r="AH360" s="2"/>
      <c r="AW360" s="2"/>
      <c r="AX360" s="2"/>
      <c r="AY360" s="2"/>
    </row>
    <row r="361" ht="15.75" customHeight="1">
      <c r="AH361" s="2"/>
      <c r="AW361" s="2"/>
      <c r="AX361" s="2"/>
      <c r="AY361" s="2"/>
    </row>
    <row r="362" ht="15.75" customHeight="1">
      <c r="AH362" s="2"/>
      <c r="AW362" s="2"/>
      <c r="AX362" s="2"/>
      <c r="AY362" s="2"/>
    </row>
    <row r="363" ht="15.75" customHeight="1">
      <c r="AH363" s="2"/>
      <c r="AW363" s="2"/>
      <c r="AX363" s="2"/>
      <c r="AY363" s="2"/>
    </row>
    <row r="364" ht="15.75" customHeight="1">
      <c r="AH364" s="2"/>
      <c r="AW364" s="2"/>
      <c r="AX364" s="2"/>
      <c r="AY364" s="2"/>
    </row>
    <row r="365" ht="15.75" customHeight="1">
      <c r="AH365" s="2"/>
      <c r="AW365" s="2"/>
      <c r="AX365" s="2"/>
      <c r="AY365" s="2"/>
    </row>
    <row r="366" ht="15.75" customHeight="1">
      <c r="AH366" s="2"/>
      <c r="AW366" s="2"/>
      <c r="AX366" s="2"/>
      <c r="AY366" s="2"/>
    </row>
    <row r="367" ht="15.75" customHeight="1">
      <c r="AH367" s="2"/>
      <c r="AW367" s="2"/>
      <c r="AX367" s="2"/>
      <c r="AY367" s="2"/>
    </row>
    <row r="368" ht="15.75" customHeight="1">
      <c r="AH368" s="2"/>
      <c r="AW368" s="2"/>
      <c r="AX368" s="2"/>
      <c r="AY368" s="2"/>
    </row>
    <row r="369" ht="15.75" customHeight="1">
      <c r="AH369" s="2"/>
      <c r="AW369" s="2"/>
      <c r="AX369" s="2"/>
      <c r="AY369" s="2"/>
    </row>
    <row r="370" ht="15.75" customHeight="1">
      <c r="AH370" s="2"/>
      <c r="AW370" s="2"/>
      <c r="AX370" s="2"/>
      <c r="AY370" s="2"/>
    </row>
    <row r="371" ht="15.75" customHeight="1">
      <c r="AH371" s="2"/>
      <c r="AW371" s="2"/>
      <c r="AX371" s="2"/>
      <c r="AY371" s="2"/>
    </row>
    <row r="372" ht="15.75" customHeight="1">
      <c r="AH372" s="2"/>
      <c r="AW372" s="2"/>
      <c r="AX372" s="2"/>
      <c r="AY372" s="2"/>
    </row>
    <row r="373" ht="15.75" customHeight="1">
      <c r="AH373" s="2"/>
      <c r="AW373" s="2"/>
      <c r="AX373" s="2"/>
      <c r="AY373" s="2"/>
    </row>
    <row r="374" ht="15.75" customHeight="1">
      <c r="AH374" s="2"/>
      <c r="AW374" s="2"/>
      <c r="AX374" s="2"/>
      <c r="AY374" s="2"/>
    </row>
    <row r="375" ht="15.75" customHeight="1">
      <c r="AH375" s="2"/>
      <c r="AW375" s="2"/>
      <c r="AX375" s="2"/>
      <c r="AY375" s="2"/>
    </row>
    <row r="376" ht="15.75" customHeight="1">
      <c r="AH376" s="2"/>
      <c r="AW376" s="2"/>
      <c r="AX376" s="2"/>
      <c r="AY376" s="2"/>
    </row>
    <row r="377" ht="15.75" customHeight="1">
      <c r="AH377" s="2"/>
      <c r="AW377" s="2"/>
      <c r="AX377" s="2"/>
      <c r="AY377" s="2"/>
    </row>
    <row r="378" ht="15.75" customHeight="1">
      <c r="AH378" s="2"/>
      <c r="AW378" s="2"/>
      <c r="AX378" s="2"/>
      <c r="AY378" s="2"/>
    </row>
    <row r="379" ht="15.75" customHeight="1">
      <c r="AH379" s="2"/>
      <c r="AW379" s="2"/>
      <c r="AX379" s="2"/>
      <c r="AY379" s="2"/>
    </row>
    <row r="380" ht="15.75" customHeight="1">
      <c r="AH380" s="2"/>
      <c r="AW380" s="2"/>
      <c r="AX380" s="2"/>
      <c r="AY380" s="2"/>
    </row>
    <row r="381" ht="15.75" customHeight="1">
      <c r="AH381" s="2"/>
      <c r="AW381" s="2"/>
      <c r="AX381" s="2"/>
      <c r="AY381" s="2"/>
    </row>
    <row r="382" ht="15.75" customHeight="1">
      <c r="AH382" s="2"/>
      <c r="AW382" s="2"/>
      <c r="AX382" s="2"/>
      <c r="AY382" s="2"/>
    </row>
    <row r="383" ht="15.75" customHeight="1">
      <c r="AH383" s="2"/>
      <c r="AW383" s="2"/>
      <c r="AX383" s="2"/>
      <c r="AY383" s="2"/>
    </row>
    <row r="384" ht="15.75" customHeight="1">
      <c r="AH384" s="2"/>
      <c r="AW384" s="2"/>
      <c r="AX384" s="2"/>
      <c r="AY384" s="2"/>
    </row>
    <row r="385" ht="15.75" customHeight="1">
      <c r="AH385" s="2"/>
      <c r="AW385" s="2"/>
      <c r="AX385" s="2"/>
      <c r="AY385" s="2"/>
    </row>
    <row r="386" ht="15.75" customHeight="1">
      <c r="AH386" s="2"/>
      <c r="AW386" s="2"/>
      <c r="AX386" s="2"/>
      <c r="AY386" s="2"/>
    </row>
    <row r="387" ht="15.75" customHeight="1">
      <c r="AH387" s="2"/>
      <c r="AW387" s="2"/>
      <c r="AX387" s="2"/>
      <c r="AY387" s="2"/>
    </row>
    <row r="388" ht="15.75" customHeight="1">
      <c r="AH388" s="2"/>
      <c r="AW388" s="2"/>
      <c r="AX388" s="2"/>
      <c r="AY388" s="2"/>
    </row>
    <row r="389" ht="15.75" customHeight="1">
      <c r="AH389" s="2"/>
      <c r="AW389" s="2"/>
      <c r="AX389" s="2"/>
      <c r="AY389" s="2"/>
    </row>
    <row r="390" ht="15.75" customHeight="1">
      <c r="AH390" s="2"/>
      <c r="AW390" s="2"/>
      <c r="AX390" s="2"/>
      <c r="AY390" s="2"/>
    </row>
    <row r="391" ht="15.75" customHeight="1">
      <c r="AH391" s="2"/>
      <c r="AW391" s="2"/>
      <c r="AX391" s="2"/>
      <c r="AY391" s="2"/>
    </row>
    <row r="392" ht="15.75" customHeight="1">
      <c r="AH392" s="2"/>
      <c r="AW392" s="2"/>
      <c r="AX392" s="2"/>
      <c r="AY392" s="2"/>
    </row>
    <row r="393" ht="15.75" customHeight="1">
      <c r="AH393" s="2"/>
      <c r="AW393" s="2"/>
      <c r="AX393" s="2"/>
      <c r="AY393" s="2"/>
    </row>
    <row r="394" ht="15.75" customHeight="1">
      <c r="AH394" s="2"/>
      <c r="AW394" s="2"/>
      <c r="AX394" s="2"/>
      <c r="AY394" s="2"/>
    </row>
    <row r="395" ht="15.75" customHeight="1">
      <c r="AH395" s="2"/>
      <c r="AW395" s="2"/>
      <c r="AX395" s="2"/>
      <c r="AY395" s="2"/>
    </row>
    <row r="396" ht="15.75" customHeight="1">
      <c r="AH396" s="2"/>
      <c r="AW396" s="2"/>
      <c r="AX396" s="2"/>
      <c r="AY396" s="2"/>
    </row>
    <row r="397" ht="15.75" customHeight="1">
      <c r="AH397" s="2"/>
      <c r="AW397" s="2"/>
      <c r="AX397" s="2"/>
      <c r="AY397" s="2"/>
    </row>
    <row r="398" ht="15.75" customHeight="1">
      <c r="AH398" s="2"/>
      <c r="AW398" s="2"/>
      <c r="AX398" s="2"/>
      <c r="AY398" s="2"/>
    </row>
    <row r="399" ht="15.75" customHeight="1">
      <c r="AH399" s="2"/>
      <c r="AW399" s="2"/>
      <c r="AX399" s="2"/>
      <c r="AY399" s="2"/>
    </row>
    <row r="400" ht="15.75" customHeight="1">
      <c r="AH400" s="2"/>
      <c r="AW400" s="2"/>
      <c r="AX400" s="2"/>
      <c r="AY400" s="2"/>
    </row>
    <row r="401" ht="15.75" customHeight="1">
      <c r="AH401" s="2"/>
      <c r="AW401" s="2"/>
      <c r="AX401" s="2"/>
      <c r="AY401" s="2"/>
    </row>
    <row r="402" ht="15.75" customHeight="1">
      <c r="AH402" s="2"/>
      <c r="AW402" s="2"/>
      <c r="AX402" s="2"/>
      <c r="AY402" s="2"/>
    </row>
    <row r="403" ht="15.75" customHeight="1">
      <c r="AH403" s="2"/>
      <c r="AW403" s="2"/>
      <c r="AX403" s="2"/>
      <c r="AY403" s="2"/>
    </row>
    <row r="404" ht="15.75" customHeight="1">
      <c r="AH404" s="2"/>
      <c r="AW404" s="2"/>
      <c r="AX404" s="2"/>
      <c r="AY404" s="2"/>
    </row>
    <row r="405" ht="15.75" customHeight="1">
      <c r="AH405" s="2"/>
      <c r="AW405" s="2"/>
      <c r="AX405" s="2"/>
      <c r="AY405" s="2"/>
    </row>
    <row r="406" ht="15.75" customHeight="1">
      <c r="AH406" s="2"/>
      <c r="AW406" s="2"/>
      <c r="AX406" s="2"/>
      <c r="AY406" s="2"/>
    </row>
    <row r="407" ht="15.75" customHeight="1">
      <c r="AH407" s="2"/>
      <c r="AW407" s="2"/>
      <c r="AX407" s="2"/>
      <c r="AY407" s="2"/>
    </row>
    <row r="408" ht="15.75" customHeight="1">
      <c r="AH408" s="2"/>
      <c r="AW408" s="2"/>
      <c r="AX408" s="2"/>
      <c r="AY408" s="2"/>
    </row>
    <row r="409" ht="15.75" customHeight="1">
      <c r="AH409" s="2"/>
      <c r="AW409" s="2"/>
      <c r="AX409" s="2"/>
      <c r="AY409" s="2"/>
    </row>
    <row r="410" ht="15.75" customHeight="1">
      <c r="AH410" s="2"/>
      <c r="AW410" s="2"/>
      <c r="AX410" s="2"/>
      <c r="AY410" s="2"/>
    </row>
    <row r="411" ht="15.75" customHeight="1">
      <c r="AH411" s="2"/>
      <c r="AW411" s="2"/>
      <c r="AX411" s="2"/>
      <c r="AY411" s="2"/>
    </row>
    <row r="412" ht="15.75" customHeight="1">
      <c r="AH412" s="2"/>
      <c r="AW412" s="2"/>
      <c r="AX412" s="2"/>
      <c r="AY412" s="2"/>
    </row>
    <row r="413" ht="15.75" customHeight="1">
      <c r="AH413" s="2"/>
      <c r="AW413" s="2"/>
      <c r="AX413" s="2"/>
      <c r="AY413" s="2"/>
    </row>
    <row r="414" ht="15.75" customHeight="1">
      <c r="AH414" s="2"/>
      <c r="AW414" s="2"/>
      <c r="AX414" s="2"/>
      <c r="AY414" s="2"/>
    </row>
    <row r="415" ht="15.75" customHeight="1">
      <c r="AH415" s="2"/>
      <c r="AW415" s="2"/>
      <c r="AX415" s="2"/>
      <c r="AY415" s="2"/>
    </row>
    <row r="416" ht="15.75" customHeight="1">
      <c r="AH416" s="2"/>
      <c r="AW416" s="2"/>
      <c r="AX416" s="2"/>
      <c r="AY416" s="2"/>
    </row>
    <row r="417" ht="15.75" customHeight="1">
      <c r="AH417" s="2"/>
      <c r="AW417" s="2"/>
      <c r="AX417" s="2"/>
      <c r="AY417" s="2"/>
    </row>
    <row r="418" ht="15.75" customHeight="1">
      <c r="AH418" s="2"/>
      <c r="AW418" s="2"/>
      <c r="AX418" s="2"/>
      <c r="AY418" s="2"/>
    </row>
    <row r="419" ht="15.75" customHeight="1">
      <c r="AH419" s="2"/>
      <c r="AW419" s="2"/>
      <c r="AX419" s="2"/>
      <c r="AY419" s="2"/>
    </row>
    <row r="420" ht="15.75" customHeight="1">
      <c r="AH420" s="2"/>
      <c r="AW420" s="2"/>
      <c r="AX420" s="2"/>
      <c r="AY420" s="2"/>
    </row>
    <row r="421" ht="15.75" customHeight="1">
      <c r="AH421" s="2"/>
      <c r="AW421" s="2"/>
      <c r="AX421" s="2"/>
      <c r="AY421" s="2"/>
    </row>
    <row r="422" ht="15.75" customHeight="1">
      <c r="AH422" s="2"/>
      <c r="AW422" s="2"/>
      <c r="AX422" s="2"/>
      <c r="AY422" s="2"/>
    </row>
    <row r="423" ht="15.75" customHeight="1">
      <c r="AH423" s="2"/>
      <c r="AW423" s="2"/>
      <c r="AX423" s="2"/>
      <c r="AY423" s="2"/>
    </row>
    <row r="424" ht="15.75" customHeight="1">
      <c r="AH424" s="2"/>
      <c r="AW424" s="2"/>
      <c r="AX424" s="2"/>
      <c r="AY424" s="2"/>
    </row>
    <row r="425" ht="15.75" customHeight="1">
      <c r="AH425" s="2"/>
      <c r="AW425" s="2"/>
      <c r="AX425" s="2"/>
      <c r="AY425" s="2"/>
    </row>
    <row r="426" ht="15.75" customHeight="1">
      <c r="AH426" s="2"/>
      <c r="AW426" s="2"/>
      <c r="AX426" s="2"/>
      <c r="AY426" s="2"/>
    </row>
    <row r="427" ht="15.75" customHeight="1">
      <c r="AH427" s="2"/>
      <c r="AW427" s="2"/>
      <c r="AX427" s="2"/>
      <c r="AY427" s="2"/>
    </row>
    <row r="428" ht="15.75" customHeight="1">
      <c r="AH428" s="2"/>
      <c r="AW428" s="2"/>
      <c r="AX428" s="2"/>
      <c r="AY428" s="2"/>
    </row>
    <row r="429" ht="15.75" customHeight="1">
      <c r="AH429" s="2"/>
      <c r="AW429" s="2"/>
      <c r="AX429" s="2"/>
      <c r="AY429" s="2"/>
    </row>
    <row r="430" ht="15.75" customHeight="1">
      <c r="AH430" s="2"/>
      <c r="AW430" s="2"/>
      <c r="AX430" s="2"/>
      <c r="AY430" s="2"/>
    </row>
    <row r="431" ht="15.75" customHeight="1">
      <c r="AH431" s="2"/>
      <c r="AW431" s="2"/>
      <c r="AX431" s="2"/>
      <c r="AY431" s="2"/>
    </row>
    <row r="432" ht="15.75" customHeight="1">
      <c r="AH432" s="2"/>
      <c r="AW432" s="2"/>
      <c r="AX432" s="2"/>
      <c r="AY432" s="2"/>
    </row>
    <row r="433" ht="15.75" customHeight="1">
      <c r="AH433" s="2"/>
      <c r="AW433" s="2"/>
      <c r="AX433" s="2"/>
      <c r="AY433" s="2"/>
    </row>
    <row r="434" ht="15.75" customHeight="1">
      <c r="AH434" s="2"/>
      <c r="AW434" s="2"/>
      <c r="AX434" s="2"/>
      <c r="AY434" s="2"/>
    </row>
    <row r="435" ht="15.75" customHeight="1">
      <c r="AH435" s="2"/>
      <c r="AW435" s="2"/>
      <c r="AX435" s="2"/>
      <c r="AY435" s="2"/>
    </row>
    <row r="436" ht="15.75" customHeight="1">
      <c r="AH436" s="2"/>
      <c r="AW436" s="2"/>
      <c r="AX436" s="2"/>
      <c r="AY436" s="2"/>
    </row>
    <row r="437" ht="15.75" customHeight="1">
      <c r="AH437" s="2"/>
      <c r="AW437" s="2"/>
      <c r="AX437" s="2"/>
      <c r="AY437" s="2"/>
    </row>
    <row r="438" ht="15.75" customHeight="1">
      <c r="AH438" s="2"/>
      <c r="AW438" s="2"/>
      <c r="AX438" s="2"/>
      <c r="AY438" s="2"/>
    </row>
    <row r="439" ht="15.75" customHeight="1">
      <c r="AH439" s="2"/>
      <c r="AW439" s="2"/>
      <c r="AX439" s="2"/>
      <c r="AY439" s="2"/>
    </row>
    <row r="440" ht="15.75" customHeight="1">
      <c r="AH440" s="2"/>
      <c r="AW440" s="2"/>
      <c r="AX440" s="2"/>
      <c r="AY440" s="2"/>
    </row>
    <row r="441" ht="15.75" customHeight="1">
      <c r="AH441" s="2"/>
      <c r="AW441" s="2"/>
      <c r="AX441" s="2"/>
      <c r="AY441" s="2"/>
    </row>
    <row r="442" ht="15.75" customHeight="1">
      <c r="AH442" s="2"/>
      <c r="AW442" s="2"/>
      <c r="AX442" s="2"/>
      <c r="AY442" s="2"/>
    </row>
    <row r="443" ht="15.75" customHeight="1">
      <c r="AH443" s="2"/>
      <c r="AW443" s="2"/>
      <c r="AX443" s="2"/>
      <c r="AY443" s="2"/>
    </row>
    <row r="444" ht="15.75" customHeight="1">
      <c r="AH444" s="2"/>
      <c r="AW444" s="2"/>
      <c r="AX444" s="2"/>
      <c r="AY444" s="2"/>
    </row>
    <row r="445" ht="15.75" customHeight="1">
      <c r="AH445" s="2"/>
      <c r="AW445" s="2"/>
      <c r="AX445" s="2"/>
      <c r="AY445" s="2"/>
    </row>
    <row r="446" ht="15.75" customHeight="1">
      <c r="AH446" s="2"/>
      <c r="AW446" s="2"/>
      <c r="AX446" s="2"/>
      <c r="AY446" s="2"/>
    </row>
    <row r="447" ht="15.75" customHeight="1">
      <c r="AH447" s="2"/>
      <c r="AW447" s="2"/>
      <c r="AX447" s="2"/>
      <c r="AY447" s="2"/>
    </row>
    <row r="448" ht="15.75" customHeight="1">
      <c r="AH448" s="2"/>
      <c r="AW448" s="2"/>
      <c r="AX448" s="2"/>
      <c r="AY448" s="2"/>
    </row>
    <row r="449" ht="15.75" customHeight="1">
      <c r="AH449" s="2"/>
      <c r="AW449" s="2"/>
      <c r="AX449" s="2"/>
      <c r="AY449" s="2"/>
    </row>
    <row r="450" ht="15.75" customHeight="1">
      <c r="AH450" s="2"/>
      <c r="AW450" s="2"/>
      <c r="AX450" s="2"/>
      <c r="AY450" s="2"/>
    </row>
    <row r="451" ht="15.75" customHeight="1">
      <c r="AH451" s="2"/>
      <c r="AW451" s="2"/>
      <c r="AX451" s="2"/>
      <c r="AY451" s="2"/>
    </row>
    <row r="452" ht="15.75" customHeight="1">
      <c r="AH452" s="2"/>
      <c r="AW452" s="2"/>
      <c r="AX452" s="2"/>
      <c r="AY452" s="2"/>
    </row>
    <row r="453" ht="15.75" customHeight="1">
      <c r="AH453" s="2"/>
      <c r="AW453" s="2"/>
      <c r="AX453" s="2"/>
      <c r="AY453" s="2"/>
    </row>
    <row r="454" ht="15.75" customHeight="1">
      <c r="AH454" s="2"/>
      <c r="AW454" s="2"/>
      <c r="AX454" s="2"/>
      <c r="AY454" s="2"/>
    </row>
    <row r="455" ht="15.75" customHeight="1">
      <c r="AH455" s="2"/>
      <c r="AW455" s="2"/>
      <c r="AX455" s="2"/>
      <c r="AY455" s="2"/>
    </row>
    <row r="456" ht="15.75" customHeight="1">
      <c r="AH456" s="2"/>
      <c r="AW456" s="2"/>
      <c r="AX456" s="2"/>
      <c r="AY456" s="2"/>
    </row>
    <row r="457" ht="15.75" customHeight="1">
      <c r="AH457" s="2"/>
      <c r="AW457" s="2"/>
      <c r="AX457" s="2"/>
      <c r="AY457" s="2"/>
    </row>
    <row r="458" ht="15.75" customHeight="1">
      <c r="AH458" s="2"/>
      <c r="AW458" s="2"/>
      <c r="AX458" s="2"/>
      <c r="AY458" s="2"/>
    </row>
    <row r="459" ht="15.75" customHeight="1">
      <c r="AH459" s="2"/>
      <c r="AW459" s="2"/>
      <c r="AX459" s="2"/>
      <c r="AY459" s="2"/>
    </row>
    <row r="460" ht="15.75" customHeight="1">
      <c r="AH460" s="2"/>
      <c r="AW460" s="2"/>
      <c r="AX460" s="2"/>
      <c r="AY460" s="2"/>
    </row>
    <row r="461" ht="15.75" customHeight="1">
      <c r="AH461" s="2"/>
      <c r="AW461" s="2"/>
      <c r="AX461" s="2"/>
      <c r="AY461" s="2"/>
    </row>
    <row r="462" ht="15.75" customHeight="1">
      <c r="AH462" s="2"/>
      <c r="AW462" s="2"/>
      <c r="AX462" s="2"/>
      <c r="AY462" s="2"/>
    </row>
    <row r="463" ht="15.75" customHeight="1">
      <c r="AH463" s="2"/>
      <c r="AW463" s="2"/>
      <c r="AX463" s="2"/>
      <c r="AY463" s="2"/>
    </row>
    <row r="464" ht="15.75" customHeight="1">
      <c r="AH464" s="2"/>
      <c r="AW464" s="2"/>
      <c r="AX464" s="2"/>
      <c r="AY464" s="2"/>
    </row>
    <row r="465" ht="15.75" customHeight="1">
      <c r="AH465" s="2"/>
      <c r="AW465" s="2"/>
      <c r="AX465" s="2"/>
      <c r="AY465" s="2"/>
    </row>
    <row r="466" ht="15.75" customHeight="1">
      <c r="AH466" s="2"/>
      <c r="AW466" s="2"/>
      <c r="AX466" s="2"/>
      <c r="AY466" s="2"/>
    </row>
    <row r="467" ht="15.75" customHeight="1">
      <c r="AH467" s="2"/>
      <c r="AW467" s="2"/>
      <c r="AX467" s="2"/>
      <c r="AY467" s="2"/>
    </row>
    <row r="468" ht="15.75" customHeight="1">
      <c r="AH468" s="2"/>
      <c r="AW468" s="2"/>
      <c r="AX468" s="2"/>
      <c r="AY468" s="2"/>
    </row>
    <row r="469" ht="15.75" customHeight="1">
      <c r="AH469" s="2"/>
      <c r="AW469" s="2"/>
      <c r="AX469" s="2"/>
      <c r="AY469" s="2"/>
    </row>
    <row r="470" ht="15.75" customHeight="1">
      <c r="AH470" s="2"/>
      <c r="AW470" s="2"/>
      <c r="AX470" s="2"/>
      <c r="AY470" s="2"/>
    </row>
    <row r="471" ht="15.75" customHeight="1">
      <c r="AH471" s="2"/>
      <c r="AW471" s="2"/>
      <c r="AX471" s="2"/>
      <c r="AY471" s="2"/>
    </row>
    <row r="472" ht="15.75" customHeight="1">
      <c r="AH472" s="2"/>
      <c r="AW472" s="2"/>
      <c r="AX472" s="2"/>
      <c r="AY472" s="2"/>
    </row>
    <row r="473" ht="15.75" customHeight="1">
      <c r="AH473" s="2"/>
      <c r="AW473" s="2"/>
      <c r="AX473" s="2"/>
      <c r="AY473" s="2"/>
    </row>
    <row r="474" ht="15.75" customHeight="1">
      <c r="AH474" s="2"/>
      <c r="AW474" s="2"/>
      <c r="AX474" s="2"/>
      <c r="AY474" s="2"/>
    </row>
    <row r="475" ht="15.75" customHeight="1">
      <c r="AH475" s="2"/>
      <c r="AW475" s="2"/>
      <c r="AX475" s="2"/>
      <c r="AY475" s="2"/>
    </row>
    <row r="476" ht="15.75" customHeight="1">
      <c r="AH476" s="2"/>
      <c r="AW476" s="2"/>
      <c r="AX476" s="2"/>
      <c r="AY476" s="2"/>
    </row>
    <row r="477" ht="15.75" customHeight="1">
      <c r="AH477" s="2"/>
      <c r="AW477" s="2"/>
      <c r="AX477" s="2"/>
      <c r="AY477" s="2"/>
    </row>
    <row r="478" ht="15.75" customHeight="1">
      <c r="AH478" s="2"/>
      <c r="AW478" s="2"/>
      <c r="AX478" s="2"/>
      <c r="AY478" s="2"/>
    </row>
    <row r="479" ht="15.75" customHeight="1">
      <c r="AH479" s="2"/>
      <c r="AW479" s="2"/>
      <c r="AX479" s="2"/>
      <c r="AY479" s="2"/>
    </row>
    <row r="480" ht="15.75" customHeight="1">
      <c r="AH480" s="2"/>
      <c r="AW480" s="2"/>
      <c r="AX480" s="2"/>
      <c r="AY480" s="2"/>
    </row>
    <row r="481" ht="15.75" customHeight="1">
      <c r="AH481" s="2"/>
      <c r="AW481" s="2"/>
      <c r="AX481" s="2"/>
      <c r="AY481" s="2"/>
    </row>
    <row r="482" ht="15.75" customHeight="1">
      <c r="AH482" s="2"/>
      <c r="AW482" s="2"/>
      <c r="AX482" s="2"/>
      <c r="AY482" s="2"/>
    </row>
    <row r="483" ht="15.75" customHeight="1">
      <c r="AH483" s="2"/>
      <c r="AW483" s="2"/>
      <c r="AX483" s="2"/>
      <c r="AY483" s="2"/>
    </row>
    <row r="484" ht="15.75" customHeight="1">
      <c r="AH484" s="2"/>
      <c r="AW484" s="2"/>
      <c r="AX484" s="2"/>
      <c r="AY484" s="2"/>
    </row>
    <row r="485" ht="15.75" customHeight="1">
      <c r="AH485" s="2"/>
      <c r="AW485" s="2"/>
      <c r="AX485" s="2"/>
      <c r="AY485" s="2"/>
    </row>
    <row r="486" ht="15.75" customHeight="1">
      <c r="AH486" s="2"/>
      <c r="AW486" s="2"/>
      <c r="AX486" s="2"/>
      <c r="AY486" s="2"/>
    </row>
    <row r="487" ht="15.75" customHeight="1">
      <c r="AH487" s="2"/>
      <c r="AW487" s="2"/>
      <c r="AX487" s="2"/>
      <c r="AY487" s="2"/>
    </row>
    <row r="488" ht="15.75" customHeight="1">
      <c r="AH488" s="2"/>
      <c r="AW488" s="2"/>
      <c r="AX488" s="2"/>
      <c r="AY488" s="2"/>
    </row>
    <row r="489" ht="15.75" customHeight="1">
      <c r="AH489" s="2"/>
      <c r="AW489" s="2"/>
      <c r="AX489" s="2"/>
      <c r="AY489" s="2"/>
    </row>
    <row r="490" ht="15.75" customHeight="1">
      <c r="AH490" s="2"/>
      <c r="AW490" s="2"/>
      <c r="AX490" s="2"/>
      <c r="AY490" s="2"/>
    </row>
    <row r="491" ht="15.75" customHeight="1">
      <c r="AH491" s="2"/>
      <c r="AW491" s="2"/>
      <c r="AX491" s="2"/>
      <c r="AY491" s="2"/>
    </row>
    <row r="492" ht="15.75" customHeight="1">
      <c r="AH492" s="2"/>
      <c r="AW492" s="2"/>
      <c r="AX492" s="2"/>
      <c r="AY492" s="2"/>
    </row>
    <row r="493" ht="15.75" customHeight="1">
      <c r="AH493" s="2"/>
      <c r="AW493" s="2"/>
      <c r="AX493" s="2"/>
      <c r="AY493" s="2"/>
    </row>
    <row r="494" ht="15.75" customHeight="1">
      <c r="AH494" s="2"/>
      <c r="AW494" s="2"/>
      <c r="AX494" s="2"/>
      <c r="AY494" s="2"/>
    </row>
    <row r="495" ht="15.75" customHeight="1">
      <c r="AH495" s="2"/>
      <c r="AW495" s="2"/>
      <c r="AX495" s="2"/>
      <c r="AY495" s="2"/>
    </row>
    <row r="496" ht="15.75" customHeight="1">
      <c r="AH496" s="2"/>
      <c r="AW496" s="2"/>
      <c r="AX496" s="2"/>
      <c r="AY496" s="2"/>
    </row>
    <row r="497" ht="15.75" customHeight="1">
      <c r="AH497" s="2"/>
      <c r="AW497" s="2"/>
      <c r="AX497" s="2"/>
      <c r="AY497" s="2"/>
    </row>
    <row r="498" ht="15.75" customHeight="1">
      <c r="AH498" s="2"/>
      <c r="AW498" s="2"/>
      <c r="AX498" s="2"/>
      <c r="AY498" s="2"/>
    </row>
    <row r="499" ht="15.75" customHeight="1">
      <c r="AH499" s="2"/>
      <c r="AW499" s="2"/>
      <c r="AX499" s="2"/>
      <c r="AY499" s="2"/>
    </row>
    <row r="500" ht="15.75" customHeight="1">
      <c r="AH500" s="2"/>
      <c r="AW500" s="2"/>
      <c r="AX500" s="2"/>
      <c r="AY500" s="2"/>
    </row>
    <row r="501" ht="15.75" customHeight="1">
      <c r="AH501" s="2"/>
      <c r="AW501" s="2"/>
      <c r="AX501" s="2"/>
      <c r="AY501" s="2"/>
    </row>
    <row r="502" ht="15.75" customHeight="1">
      <c r="AH502" s="2"/>
      <c r="AW502" s="2"/>
      <c r="AX502" s="2"/>
      <c r="AY502" s="2"/>
    </row>
    <row r="503" ht="15.75" customHeight="1">
      <c r="AH503" s="2"/>
      <c r="AW503" s="2"/>
      <c r="AX503" s="2"/>
      <c r="AY503" s="2"/>
    </row>
    <row r="504" ht="15.75" customHeight="1">
      <c r="AH504" s="2"/>
      <c r="AW504" s="2"/>
      <c r="AX504" s="2"/>
      <c r="AY504" s="2"/>
    </row>
    <row r="505" ht="15.75" customHeight="1">
      <c r="AH505" s="2"/>
      <c r="AW505" s="2"/>
      <c r="AX505" s="2"/>
      <c r="AY505" s="2"/>
    </row>
    <row r="506" ht="15.75" customHeight="1">
      <c r="AH506" s="2"/>
      <c r="AW506" s="2"/>
      <c r="AX506" s="2"/>
      <c r="AY506" s="2"/>
    </row>
    <row r="507" ht="15.75" customHeight="1">
      <c r="AH507" s="2"/>
      <c r="AW507" s="2"/>
      <c r="AX507" s="2"/>
      <c r="AY507" s="2"/>
    </row>
    <row r="508" ht="15.75" customHeight="1">
      <c r="AH508" s="2"/>
      <c r="AW508" s="2"/>
      <c r="AX508" s="2"/>
      <c r="AY508" s="2"/>
    </row>
    <row r="509" ht="15.75" customHeight="1">
      <c r="AH509" s="2"/>
      <c r="AW509" s="2"/>
      <c r="AX509" s="2"/>
      <c r="AY509" s="2"/>
    </row>
    <row r="510" ht="15.75" customHeight="1">
      <c r="AH510" s="2"/>
      <c r="AW510" s="2"/>
      <c r="AX510" s="2"/>
      <c r="AY510" s="2"/>
    </row>
    <row r="511" ht="15.75" customHeight="1">
      <c r="AH511" s="2"/>
      <c r="AW511" s="2"/>
      <c r="AX511" s="2"/>
      <c r="AY511" s="2"/>
    </row>
    <row r="512" ht="15.75" customHeight="1">
      <c r="AH512" s="2"/>
      <c r="AW512" s="2"/>
      <c r="AX512" s="2"/>
      <c r="AY512" s="2"/>
    </row>
    <row r="513" ht="15.75" customHeight="1">
      <c r="AH513" s="2"/>
      <c r="AW513" s="2"/>
      <c r="AX513" s="2"/>
      <c r="AY513" s="2"/>
    </row>
    <row r="514" ht="15.75" customHeight="1">
      <c r="AH514" s="2"/>
      <c r="AW514" s="2"/>
      <c r="AX514" s="2"/>
      <c r="AY514" s="2"/>
    </row>
    <row r="515" ht="15.75" customHeight="1">
      <c r="AH515" s="2"/>
      <c r="AW515" s="2"/>
      <c r="AX515" s="2"/>
      <c r="AY515" s="2"/>
    </row>
    <row r="516" ht="15.75" customHeight="1">
      <c r="AH516" s="2"/>
      <c r="AW516" s="2"/>
      <c r="AX516" s="2"/>
      <c r="AY516" s="2"/>
    </row>
    <row r="517" ht="15.75" customHeight="1">
      <c r="AH517" s="2"/>
      <c r="AW517" s="2"/>
      <c r="AX517" s="2"/>
      <c r="AY517" s="2"/>
    </row>
    <row r="518" ht="15.75" customHeight="1">
      <c r="AH518" s="2"/>
      <c r="AW518" s="2"/>
      <c r="AX518" s="2"/>
      <c r="AY518" s="2"/>
    </row>
    <row r="519" ht="15.75" customHeight="1">
      <c r="AH519" s="2"/>
      <c r="AW519" s="2"/>
      <c r="AX519" s="2"/>
      <c r="AY519" s="2"/>
    </row>
    <row r="520" ht="15.75" customHeight="1">
      <c r="AH520" s="2"/>
      <c r="AW520" s="2"/>
      <c r="AX520" s="2"/>
      <c r="AY520" s="2"/>
    </row>
    <row r="521" ht="15.75" customHeight="1">
      <c r="AH521" s="2"/>
      <c r="AW521" s="2"/>
      <c r="AX521" s="2"/>
      <c r="AY521" s="2"/>
    </row>
    <row r="522" ht="15.75" customHeight="1">
      <c r="AH522" s="2"/>
      <c r="AW522" s="2"/>
      <c r="AX522" s="2"/>
      <c r="AY522" s="2"/>
    </row>
    <row r="523" ht="15.75" customHeight="1">
      <c r="AH523" s="2"/>
      <c r="AW523" s="2"/>
      <c r="AX523" s="2"/>
      <c r="AY523" s="2"/>
    </row>
    <row r="524" ht="15.75" customHeight="1">
      <c r="AH524" s="2"/>
      <c r="AW524" s="2"/>
      <c r="AX524" s="2"/>
      <c r="AY524" s="2"/>
    </row>
    <row r="525" ht="15.75" customHeight="1">
      <c r="AH525" s="2"/>
      <c r="AW525" s="2"/>
      <c r="AX525" s="2"/>
      <c r="AY525" s="2"/>
    </row>
    <row r="526" ht="15.75" customHeight="1">
      <c r="AH526" s="2"/>
      <c r="AW526" s="2"/>
      <c r="AX526" s="2"/>
      <c r="AY526" s="2"/>
    </row>
    <row r="527" ht="15.75" customHeight="1">
      <c r="AH527" s="2"/>
      <c r="AW527" s="2"/>
      <c r="AX527" s="2"/>
      <c r="AY527" s="2"/>
    </row>
    <row r="528" ht="15.75" customHeight="1">
      <c r="AH528" s="2"/>
      <c r="AW528" s="2"/>
      <c r="AX528" s="2"/>
      <c r="AY528" s="2"/>
    </row>
    <row r="529" ht="15.75" customHeight="1">
      <c r="AH529" s="2"/>
      <c r="AW529" s="2"/>
      <c r="AX529" s="2"/>
      <c r="AY529" s="2"/>
    </row>
    <row r="530" ht="15.75" customHeight="1">
      <c r="AH530" s="2"/>
      <c r="AW530" s="2"/>
      <c r="AX530" s="2"/>
      <c r="AY530" s="2"/>
    </row>
    <row r="531" ht="15.75" customHeight="1">
      <c r="AH531" s="2"/>
      <c r="AW531" s="2"/>
      <c r="AX531" s="2"/>
      <c r="AY531" s="2"/>
    </row>
    <row r="532" ht="15.75" customHeight="1">
      <c r="AH532" s="2"/>
      <c r="AW532" s="2"/>
      <c r="AX532" s="2"/>
      <c r="AY532" s="2"/>
    </row>
    <row r="533" ht="15.75" customHeight="1">
      <c r="AH533" s="2"/>
      <c r="AW533" s="2"/>
      <c r="AX533" s="2"/>
      <c r="AY533" s="2"/>
    </row>
    <row r="534" ht="15.75" customHeight="1">
      <c r="AH534" s="2"/>
      <c r="AW534" s="2"/>
      <c r="AX534" s="2"/>
      <c r="AY534" s="2"/>
    </row>
    <row r="535" ht="15.75" customHeight="1">
      <c r="AH535" s="2"/>
      <c r="AW535" s="2"/>
      <c r="AX535" s="2"/>
      <c r="AY535" s="2"/>
    </row>
    <row r="536" ht="15.75" customHeight="1">
      <c r="AH536" s="2"/>
      <c r="AW536" s="2"/>
      <c r="AX536" s="2"/>
      <c r="AY536" s="2"/>
    </row>
    <row r="537" ht="15.75" customHeight="1">
      <c r="AH537" s="2"/>
      <c r="AW537" s="2"/>
      <c r="AX537" s="2"/>
      <c r="AY537" s="2"/>
    </row>
    <row r="538" ht="15.75" customHeight="1">
      <c r="AH538" s="2"/>
      <c r="AW538" s="2"/>
      <c r="AX538" s="2"/>
      <c r="AY538" s="2"/>
    </row>
    <row r="539" ht="15.75" customHeight="1">
      <c r="AH539" s="2"/>
      <c r="AW539" s="2"/>
      <c r="AX539" s="2"/>
      <c r="AY539" s="2"/>
    </row>
    <row r="540" ht="15.75" customHeight="1">
      <c r="AH540" s="2"/>
      <c r="AW540" s="2"/>
      <c r="AX540" s="2"/>
      <c r="AY540" s="2"/>
    </row>
    <row r="541" ht="15.75" customHeight="1">
      <c r="AH541" s="2"/>
      <c r="AW541" s="2"/>
      <c r="AX541" s="2"/>
      <c r="AY541" s="2"/>
    </row>
    <row r="542" ht="15.75" customHeight="1">
      <c r="AH542" s="2"/>
      <c r="AW542" s="2"/>
      <c r="AX542" s="2"/>
      <c r="AY542" s="2"/>
    </row>
    <row r="543" ht="15.75" customHeight="1">
      <c r="AH543" s="2"/>
      <c r="AW543" s="2"/>
      <c r="AX543" s="2"/>
      <c r="AY543" s="2"/>
    </row>
    <row r="544" ht="15.75" customHeight="1">
      <c r="AH544" s="2"/>
      <c r="AW544" s="2"/>
      <c r="AX544" s="2"/>
      <c r="AY544" s="2"/>
    </row>
    <row r="545" ht="15.75" customHeight="1">
      <c r="AH545" s="2"/>
      <c r="AW545" s="2"/>
      <c r="AX545" s="2"/>
      <c r="AY545" s="2"/>
    </row>
    <row r="546" ht="15.75" customHeight="1">
      <c r="AH546" s="2"/>
      <c r="AW546" s="2"/>
      <c r="AX546" s="2"/>
      <c r="AY546" s="2"/>
    </row>
    <row r="547" ht="15.75" customHeight="1">
      <c r="AH547" s="2"/>
      <c r="AW547" s="2"/>
      <c r="AX547" s="2"/>
      <c r="AY547" s="2"/>
    </row>
    <row r="548" ht="15.75" customHeight="1">
      <c r="AH548" s="2"/>
      <c r="AW548" s="2"/>
      <c r="AX548" s="2"/>
      <c r="AY548" s="2"/>
    </row>
    <row r="549" ht="15.75" customHeight="1">
      <c r="AH549" s="2"/>
      <c r="AW549" s="2"/>
      <c r="AX549" s="2"/>
      <c r="AY549" s="2"/>
    </row>
    <row r="550" ht="15.75" customHeight="1">
      <c r="AH550" s="2"/>
      <c r="AW550" s="2"/>
      <c r="AX550" s="2"/>
      <c r="AY550" s="2"/>
    </row>
    <row r="551" ht="15.75" customHeight="1">
      <c r="AH551" s="2"/>
      <c r="AW551" s="2"/>
      <c r="AX551" s="2"/>
      <c r="AY551" s="2"/>
    </row>
    <row r="552" ht="15.75" customHeight="1">
      <c r="AH552" s="2"/>
      <c r="AW552" s="2"/>
      <c r="AX552" s="2"/>
      <c r="AY552" s="2"/>
    </row>
    <row r="553" ht="15.75" customHeight="1">
      <c r="AH553" s="2"/>
      <c r="AW553" s="2"/>
      <c r="AX553" s="2"/>
      <c r="AY553" s="2"/>
    </row>
    <row r="554" ht="15.75" customHeight="1">
      <c r="AH554" s="2"/>
      <c r="AW554" s="2"/>
      <c r="AX554" s="2"/>
      <c r="AY554" s="2"/>
    </row>
    <row r="555" ht="15.75" customHeight="1">
      <c r="AH555" s="2"/>
      <c r="AW555" s="2"/>
      <c r="AX555" s="2"/>
      <c r="AY555" s="2"/>
    </row>
    <row r="556" ht="15.75" customHeight="1">
      <c r="AH556" s="2"/>
      <c r="AW556" s="2"/>
      <c r="AX556" s="2"/>
      <c r="AY556" s="2"/>
    </row>
    <row r="557" ht="15.75" customHeight="1">
      <c r="AH557" s="2"/>
      <c r="AW557" s="2"/>
      <c r="AX557" s="2"/>
      <c r="AY557" s="2"/>
    </row>
    <row r="558" ht="15.75" customHeight="1">
      <c r="AH558" s="2"/>
      <c r="AW558" s="2"/>
      <c r="AX558" s="2"/>
      <c r="AY558" s="2"/>
    </row>
    <row r="559" ht="15.75" customHeight="1">
      <c r="AH559" s="2"/>
      <c r="AW559" s="2"/>
      <c r="AX559" s="2"/>
      <c r="AY559" s="2"/>
    </row>
    <row r="560" ht="15.75" customHeight="1">
      <c r="AH560" s="2"/>
      <c r="AW560" s="2"/>
      <c r="AX560" s="2"/>
      <c r="AY560" s="2"/>
    </row>
    <row r="561" ht="15.75" customHeight="1">
      <c r="AH561" s="2"/>
      <c r="AW561" s="2"/>
      <c r="AX561" s="2"/>
      <c r="AY561" s="2"/>
    </row>
    <row r="562" ht="15.75" customHeight="1">
      <c r="AH562" s="2"/>
      <c r="AW562" s="2"/>
      <c r="AX562" s="2"/>
      <c r="AY562" s="2"/>
    </row>
    <row r="563" ht="15.75" customHeight="1">
      <c r="AH563" s="2"/>
      <c r="AW563" s="2"/>
      <c r="AX563" s="2"/>
      <c r="AY563" s="2"/>
    </row>
    <row r="564" ht="15.75" customHeight="1">
      <c r="AH564" s="2"/>
      <c r="AW564" s="2"/>
      <c r="AX564" s="2"/>
      <c r="AY564" s="2"/>
    </row>
    <row r="565" ht="15.75" customHeight="1">
      <c r="AH565" s="2"/>
      <c r="AW565" s="2"/>
      <c r="AX565" s="2"/>
      <c r="AY565" s="2"/>
    </row>
    <row r="566" ht="15.75" customHeight="1">
      <c r="AH566" s="2"/>
      <c r="AW566" s="2"/>
      <c r="AX566" s="2"/>
      <c r="AY566" s="2"/>
    </row>
    <row r="567" ht="15.75" customHeight="1">
      <c r="AH567" s="2"/>
      <c r="AW567" s="2"/>
      <c r="AX567" s="2"/>
      <c r="AY567" s="2"/>
    </row>
    <row r="568" ht="15.75" customHeight="1">
      <c r="AH568" s="2"/>
      <c r="AW568" s="2"/>
      <c r="AX568" s="2"/>
      <c r="AY568" s="2"/>
    </row>
    <row r="569" ht="15.75" customHeight="1">
      <c r="AH569" s="2"/>
      <c r="AW569" s="2"/>
      <c r="AX569" s="2"/>
      <c r="AY569" s="2"/>
    </row>
    <row r="570" ht="15.75" customHeight="1">
      <c r="AH570" s="2"/>
      <c r="AW570" s="2"/>
      <c r="AX570" s="2"/>
      <c r="AY570" s="2"/>
    </row>
    <row r="571" ht="15.75" customHeight="1">
      <c r="AH571" s="2"/>
      <c r="AW571" s="2"/>
      <c r="AX571" s="2"/>
      <c r="AY571" s="2"/>
    </row>
    <row r="572" ht="15.75" customHeight="1">
      <c r="AH572" s="2"/>
      <c r="AW572" s="2"/>
      <c r="AX572" s="2"/>
      <c r="AY572" s="2"/>
    </row>
    <row r="573" ht="15.75" customHeight="1">
      <c r="AH573" s="2"/>
      <c r="AW573" s="2"/>
      <c r="AX573" s="2"/>
      <c r="AY573" s="2"/>
    </row>
    <row r="574" ht="15.75" customHeight="1">
      <c r="AH574" s="2"/>
      <c r="AW574" s="2"/>
      <c r="AX574" s="2"/>
      <c r="AY574" s="2"/>
    </row>
    <row r="575" ht="15.75" customHeight="1">
      <c r="AH575" s="2"/>
      <c r="AW575" s="2"/>
      <c r="AX575" s="2"/>
      <c r="AY575" s="2"/>
    </row>
    <row r="576" ht="15.75" customHeight="1">
      <c r="AH576" s="2"/>
      <c r="AW576" s="2"/>
      <c r="AX576" s="2"/>
      <c r="AY576" s="2"/>
    </row>
    <row r="577" ht="15.75" customHeight="1">
      <c r="AH577" s="2"/>
      <c r="AW577" s="2"/>
      <c r="AX577" s="2"/>
      <c r="AY577" s="2"/>
    </row>
    <row r="578" ht="15.75" customHeight="1">
      <c r="AH578" s="2"/>
      <c r="AW578" s="2"/>
      <c r="AX578" s="2"/>
      <c r="AY578" s="2"/>
    </row>
    <row r="579" ht="15.75" customHeight="1">
      <c r="AH579" s="2"/>
      <c r="AW579" s="2"/>
      <c r="AX579" s="2"/>
      <c r="AY579" s="2"/>
    </row>
    <row r="580" ht="15.75" customHeight="1">
      <c r="AH580" s="2"/>
      <c r="AW580" s="2"/>
      <c r="AX580" s="2"/>
      <c r="AY580" s="2"/>
    </row>
    <row r="581" ht="15.75" customHeight="1">
      <c r="AH581" s="2"/>
      <c r="AW581" s="2"/>
      <c r="AX581" s="2"/>
      <c r="AY581" s="2"/>
    </row>
    <row r="582" ht="15.75" customHeight="1">
      <c r="AH582" s="2"/>
      <c r="AW582" s="2"/>
      <c r="AX582" s="2"/>
      <c r="AY582" s="2"/>
    </row>
    <row r="583" ht="15.75" customHeight="1">
      <c r="AH583" s="2"/>
      <c r="AW583" s="2"/>
      <c r="AX583" s="2"/>
      <c r="AY583" s="2"/>
    </row>
    <row r="584" ht="15.75" customHeight="1">
      <c r="AH584" s="2"/>
      <c r="AW584" s="2"/>
      <c r="AX584" s="2"/>
      <c r="AY584" s="2"/>
    </row>
    <row r="585" ht="15.75" customHeight="1">
      <c r="AH585" s="2"/>
      <c r="AW585" s="2"/>
      <c r="AX585" s="2"/>
      <c r="AY585" s="2"/>
    </row>
    <row r="586" ht="15.75" customHeight="1">
      <c r="AH586" s="2"/>
      <c r="AW586" s="2"/>
      <c r="AX586" s="2"/>
      <c r="AY586" s="2"/>
    </row>
    <row r="587" ht="15.75" customHeight="1">
      <c r="AH587" s="2"/>
      <c r="AW587" s="2"/>
      <c r="AX587" s="2"/>
      <c r="AY587" s="2"/>
    </row>
    <row r="588" ht="15.75" customHeight="1">
      <c r="AH588" s="2"/>
      <c r="AW588" s="2"/>
      <c r="AX588" s="2"/>
      <c r="AY588" s="2"/>
    </row>
    <row r="589" ht="15.75" customHeight="1">
      <c r="AH589" s="2"/>
      <c r="AW589" s="2"/>
      <c r="AX589" s="2"/>
      <c r="AY589" s="2"/>
    </row>
    <row r="590" ht="15.75" customHeight="1">
      <c r="AH590" s="2"/>
      <c r="AW590" s="2"/>
      <c r="AX590" s="2"/>
      <c r="AY590" s="2"/>
    </row>
    <row r="591" ht="15.75" customHeight="1">
      <c r="AH591" s="2"/>
      <c r="AW591" s="2"/>
      <c r="AX591" s="2"/>
      <c r="AY591" s="2"/>
    </row>
    <row r="592" ht="15.75" customHeight="1">
      <c r="AH592" s="2"/>
      <c r="AW592" s="2"/>
      <c r="AX592" s="2"/>
      <c r="AY592" s="2"/>
    </row>
    <row r="593" ht="15.75" customHeight="1">
      <c r="AH593" s="2"/>
      <c r="AW593" s="2"/>
      <c r="AX593" s="2"/>
      <c r="AY593" s="2"/>
    </row>
    <row r="594" ht="15.75" customHeight="1">
      <c r="AH594" s="2"/>
      <c r="AW594" s="2"/>
      <c r="AX594" s="2"/>
      <c r="AY594" s="2"/>
    </row>
    <row r="595" ht="15.75" customHeight="1">
      <c r="AH595" s="2"/>
      <c r="AW595" s="2"/>
      <c r="AX595" s="2"/>
      <c r="AY595" s="2"/>
    </row>
    <row r="596" ht="15.75" customHeight="1">
      <c r="AH596" s="2"/>
      <c r="AW596" s="2"/>
      <c r="AX596" s="2"/>
      <c r="AY596" s="2"/>
    </row>
    <row r="597" ht="15.75" customHeight="1">
      <c r="AH597" s="2"/>
      <c r="AW597" s="2"/>
      <c r="AX597" s="2"/>
      <c r="AY597" s="2"/>
    </row>
    <row r="598" ht="15.75" customHeight="1">
      <c r="AH598" s="2"/>
      <c r="AW598" s="2"/>
      <c r="AX598" s="2"/>
      <c r="AY598" s="2"/>
    </row>
    <row r="599" ht="15.75" customHeight="1">
      <c r="AH599" s="2"/>
      <c r="AW599" s="2"/>
      <c r="AX599" s="2"/>
      <c r="AY599" s="2"/>
    </row>
    <row r="600" ht="15.75" customHeight="1">
      <c r="AH600" s="2"/>
      <c r="AW600" s="2"/>
      <c r="AX600" s="2"/>
      <c r="AY600" s="2"/>
    </row>
    <row r="601" ht="15.75" customHeight="1">
      <c r="AH601" s="2"/>
      <c r="AW601" s="2"/>
      <c r="AX601" s="2"/>
      <c r="AY601" s="2"/>
    </row>
    <row r="602" ht="15.75" customHeight="1">
      <c r="AH602" s="2"/>
      <c r="AW602" s="2"/>
      <c r="AX602" s="2"/>
      <c r="AY602" s="2"/>
    </row>
    <row r="603" ht="15.75" customHeight="1">
      <c r="AH603" s="2"/>
      <c r="AW603" s="2"/>
      <c r="AX603" s="2"/>
      <c r="AY603" s="2"/>
    </row>
    <row r="604" ht="15.75" customHeight="1">
      <c r="AH604" s="2"/>
      <c r="AW604" s="2"/>
      <c r="AX604" s="2"/>
      <c r="AY604" s="2"/>
    </row>
    <row r="605" ht="15.75" customHeight="1">
      <c r="AH605" s="2"/>
      <c r="AW605" s="2"/>
      <c r="AX605" s="2"/>
      <c r="AY605" s="2"/>
    </row>
    <row r="606" ht="15.75" customHeight="1">
      <c r="AH606" s="2"/>
      <c r="AW606" s="2"/>
      <c r="AX606" s="2"/>
      <c r="AY606" s="2"/>
    </row>
    <row r="607" ht="15.75" customHeight="1">
      <c r="AH607" s="2"/>
      <c r="AW607" s="2"/>
      <c r="AX607" s="2"/>
      <c r="AY607" s="2"/>
    </row>
    <row r="608" ht="15.75" customHeight="1">
      <c r="AH608" s="2"/>
      <c r="AW608" s="2"/>
      <c r="AX608" s="2"/>
      <c r="AY608" s="2"/>
    </row>
    <row r="609" ht="15.75" customHeight="1">
      <c r="AH609" s="2"/>
      <c r="AW609" s="2"/>
      <c r="AX609" s="2"/>
      <c r="AY609" s="2"/>
    </row>
    <row r="610" ht="15.75" customHeight="1">
      <c r="AH610" s="2"/>
      <c r="AW610" s="2"/>
      <c r="AX610" s="2"/>
      <c r="AY610" s="2"/>
    </row>
    <row r="611" ht="15.75" customHeight="1">
      <c r="AH611" s="2"/>
      <c r="AW611" s="2"/>
      <c r="AX611" s="2"/>
      <c r="AY611" s="2"/>
    </row>
    <row r="612" ht="15.75" customHeight="1">
      <c r="AH612" s="2"/>
      <c r="AW612" s="2"/>
      <c r="AX612" s="2"/>
      <c r="AY612" s="2"/>
    </row>
    <row r="613" ht="15.75" customHeight="1">
      <c r="AH613" s="2"/>
      <c r="AW613" s="2"/>
      <c r="AX613" s="2"/>
      <c r="AY613" s="2"/>
    </row>
    <row r="614" ht="15.75" customHeight="1">
      <c r="AH614" s="2"/>
      <c r="AW614" s="2"/>
      <c r="AX614" s="2"/>
      <c r="AY614" s="2"/>
    </row>
    <row r="615" ht="15.75" customHeight="1">
      <c r="AH615" s="2"/>
      <c r="AW615" s="2"/>
      <c r="AX615" s="2"/>
      <c r="AY615" s="2"/>
    </row>
    <row r="616" ht="15.75" customHeight="1">
      <c r="AH616" s="2"/>
      <c r="AW616" s="2"/>
      <c r="AX616" s="2"/>
      <c r="AY616" s="2"/>
    </row>
    <row r="617" ht="15.75" customHeight="1">
      <c r="AH617" s="2"/>
      <c r="AW617" s="2"/>
      <c r="AX617" s="2"/>
      <c r="AY617" s="2"/>
    </row>
    <row r="618" ht="15.75" customHeight="1">
      <c r="AH618" s="2"/>
      <c r="AW618" s="2"/>
      <c r="AX618" s="2"/>
      <c r="AY618" s="2"/>
    </row>
    <row r="619" ht="15.75" customHeight="1">
      <c r="AH619" s="2"/>
      <c r="AW619" s="2"/>
      <c r="AX619" s="2"/>
      <c r="AY619" s="2"/>
    </row>
    <row r="620" ht="15.75" customHeight="1">
      <c r="AH620" s="2"/>
      <c r="AW620" s="2"/>
      <c r="AX620" s="2"/>
      <c r="AY620" s="2"/>
    </row>
    <row r="621" ht="15.75" customHeight="1">
      <c r="AH621" s="2"/>
      <c r="AW621" s="2"/>
      <c r="AX621" s="2"/>
      <c r="AY621" s="2"/>
    </row>
    <row r="622" ht="15.75" customHeight="1">
      <c r="AH622" s="2"/>
      <c r="AW622" s="2"/>
      <c r="AX622" s="2"/>
      <c r="AY622" s="2"/>
    </row>
    <row r="623" ht="15.75" customHeight="1">
      <c r="AH623" s="2"/>
      <c r="AW623" s="2"/>
      <c r="AX623" s="2"/>
      <c r="AY623" s="2"/>
    </row>
    <row r="624" ht="15.75" customHeight="1">
      <c r="AH624" s="2"/>
      <c r="AW624" s="2"/>
      <c r="AX624" s="2"/>
      <c r="AY624" s="2"/>
    </row>
    <row r="625" ht="15.75" customHeight="1">
      <c r="AH625" s="2"/>
      <c r="AW625" s="2"/>
      <c r="AX625" s="2"/>
      <c r="AY625" s="2"/>
    </row>
    <row r="626" ht="15.75" customHeight="1">
      <c r="AH626" s="2"/>
      <c r="AW626" s="2"/>
      <c r="AX626" s="2"/>
      <c r="AY626" s="2"/>
    </row>
    <row r="627" ht="15.75" customHeight="1">
      <c r="AH627" s="2"/>
      <c r="AW627" s="2"/>
      <c r="AX627" s="2"/>
      <c r="AY627" s="2"/>
    </row>
    <row r="628" ht="15.75" customHeight="1">
      <c r="AH628" s="2"/>
      <c r="AW628" s="2"/>
      <c r="AX628" s="2"/>
      <c r="AY628" s="2"/>
    </row>
    <row r="629" ht="15.75" customHeight="1">
      <c r="AH629" s="2"/>
      <c r="AW629" s="2"/>
      <c r="AX629" s="2"/>
      <c r="AY629" s="2"/>
    </row>
    <row r="630" ht="15.75" customHeight="1">
      <c r="AH630" s="2"/>
      <c r="AW630" s="2"/>
      <c r="AX630" s="2"/>
      <c r="AY630" s="2"/>
    </row>
    <row r="631" ht="15.75" customHeight="1">
      <c r="AH631" s="2"/>
      <c r="AW631" s="2"/>
      <c r="AX631" s="2"/>
      <c r="AY631" s="2"/>
    </row>
    <row r="632" ht="15.75" customHeight="1">
      <c r="AH632" s="2"/>
      <c r="AW632" s="2"/>
      <c r="AX632" s="2"/>
      <c r="AY632" s="2"/>
    </row>
    <row r="633" ht="15.75" customHeight="1">
      <c r="AH633" s="2"/>
      <c r="AW633" s="2"/>
      <c r="AX633" s="2"/>
      <c r="AY633" s="2"/>
    </row>
    <row r="634" ht="15.75" customHeight="1">
      <c r="AH634" s="2"/>
      <c r="AW634" s="2"/>
      <c r="AX634" s="2"/>
      <c r="AY634" s="2"/>
    </row>
    <row r="635" ht="15.75" customHeight="1">
      <c r="AH635" s="2"/>
      <c r="AW635" s="2"/>
      <c r="AX635" s="2"/>
      <c r="AY635" s="2"/>
    </row>
    <row r="636" ht="15.75" customHeight="1">
      <c r="AH636" s="2"/>
      <c r="AW636" s="2"/>
      <c r="AX636" s="2"/>
      <c r="AY636" s="2"/>
    </row>
    <row r="637" ht="15.75" customHeight="1">
      <c r="AH637" s="2"/>
      <c r="AW637" s="2"/>
      <c r="AX637" s="2"/>
      <c r="AY637" s="2"/>
    </row>
    <row r="638" ht="15.75" customHeight="1">
      <c r="AH638" s="2"/>
      <c r="AW638" s="2"/>
      <c r="AX638" s="2"/>
      <c r="AY638" s="2"/>
    </row>
    <row r="639" ht="15.75" customHeight="1">
      <c r="AH639" s="2"/>
      <c r="AW639" s="2"/>
      <c r="AX639" s="2"/>
      <c r="AY639" s="2"/>
    </row>
    <row r="640" ht="15.75" customHeight="1">
      <c r="AH640" s="2"/>
      <c r="AW640" s="2"/>
      <c r="AX640" s="2"/>
      <c r="AY640" s="2"/>
    </row>
    <row r="641" ht="15.75" customHeight="1">
      <c r="AH641" s="2"/>
      <c r="AW641" s="2"/>
      <c r="AX641" s="2"/>
      <c r="AY641" s="2"/>
    </row>
    <row r="642" ht="15.75" customHeight="1">
      <c r="AH642" s="2"/>
      <c r="AW642" s="2"/>
      <c r="AX642" s="2"/>
      <c r="AY642" s="2"/>
    </row>
    <row r="643" ht="15.75" customHeight="1">
      <c r="AH643" s="2"/>
      <c r="AW643" s="2"/>
      <c r="AX643" s="2"/>
      <c r="AY643" s="2"/>
    </row>
    <row r="644" ht="15.75" customHeight="1">
      <c r="AH644" s="2"/>
      <c r="AW644" s="2"/>
      <c r="AX644" s="2"/>
      <c r="AY644" s="2"/>
    </row>
    <row r="645" ht="15.75" customHeight="1">
      <c r="AH645" s="2"/>
      <c r="AW645" s="2"/>
      <c r="AX645" s="2"/>
      <c r="AY645" s="2"/>
    </row>
    <row r="646" ht="15.75" customHeight="1">
      <c r="AH646" s="2"/>
      <c r="AW646" s="2"/>
      <c r="AX646" s="2"/>
      <c r="AY646" s="2"/>
    </row>
    <row r="647" ht="15.75" customHeight="1">
      <c r="AH647" s="2"/>
      <c r="AW647" s="2"/>
      <c r="AX647" s="2"/>
      <c r="AY647" s="2"/>
    </row>
    <row r="648" ht="15.75" customHeight="1">
      <c r="AH648" s="2"/>
      <c r="AW648" s="2"/>
      <c r="AX648" s="2"/>
      <c r="AY648" s="2"/>
    </row>
    <row r="649" ht="15.75" customHeight="1">
      <c r="AH649" s="2"/>
      <c r="AW649" s="2"/>
      <c r="AX649" s="2"/>
      <c r="AY649" s="2"/>
    </row>
    <row r="650" ht="15.75" customHeight="1">
      <c r="AH650" s="2"/>
      <c r="AW650" s="2"/>
      <c r="AX650" s="2"/>
      <c r="AY650" s="2"/>
    </row>
    <row r="651" ht="15.75" customHeight="1">
      <c r="AH651" s="2"/>
      <c r="AW651" s="2"/>
      <c r="AX651" s="2"/>
      <c r="AY651" s="2"/>
    </row>
    <row r="652" ht="15.75" customHeight="1">
      <c r="AH652" s="2"/>
      <c r="AW652" s="2"/>
      <c r="AX652" s="2"/>
      <c r="AY652" s="2"/>
    </row>
    <row r="653" ht="15.75" customHeight="1">
      <c r="AH653" s="2"/>
      <c r="AW653" s="2"/>
      <c r="AX653" s="2"/>
      <c r="AY653" s="2"/>
    </row>
    <row r="654" ht="15.75" customHeight="1">
      <c r="AH654" s="2"/>
      <c r="AW654" s="2"/>
      <c r="AX654" s="2"/>
      <c r="AY654" s="2"/>
    </row>
    <row r="655" ht="15.75" customHeight="1">
      <c r="AH655" s="2"/>
      <c r="AW655" s="2"/>
      <c r="AX655" s="2"/>
      <c r="AY655" s="2"/>
    </row>
    <row r="656" ht="15.75" customHeight="1">
      <c r="AH656" s="2"/>
      <c r="AW656" s="2"/>
      <c r="AX656" s="2"/>
      <c r="AY656" s="2"/>
    </row>
    <row r="657" ht="15.75" customHeight="1">
      <c r="AH657" s="2"/>
      <c r="AW657" s="2"/>
      <c r="AX657" s="2"/>
      <c r="AY657" s="2"/>
    </row>
    <row r="658" ht="15.75" customHeight="1">
      <c r="AH658" s="2"/>
      <c r="AW658" s="2"/>
      <c r="AX658" s="2"/>
      <c r="AY658" s="2"/>
    </row>
    <row r="659" ht="15.75" customHeight="1">
      <c r="AH659" s="2"/>
      <c r="AW659" s="2"/>
      <c r="AX659" s="2"/>
      <c r="AY659" s="2"/>
    </row>
    <row r="660" ht="15.75" customHeight="1">
      <c r="AH660" s="2"/>
      <c r="AW660" s="2"/>
      <c r="AX660" s="2"/>
      <c r="AY660" s="2"/>
    </row>
    <row r="661" ht="15.75" customHeight="1">
      <c r="AH661" s="2"/>
      <c r="AW661" s="2"/>
      <c r="AX661" s="2"/>
      <c r="AY661" s="2"/>
    </row>
    <row r="662" ht="15.75" customHeight="1">
      <c r="AH662" s="2"/>
      <c r="AW662" s="2"/>
      <c r="AX662" s="2"/>
      <c r="AY662" s="2"/>
    </row>
    <row r="663" ht="15.75" customHeight="1">
      <c r="AH663" s="2"/>
      <c r="AW663" s="2"/>
      <c r="AX663" s="2"/>
      <c r="AY663" s="2"/>
    </row>
    <row r="664" ht="15.75" customHeight="1">
      <c r="AH664" s="2"/>
      <c r="AW664" s="2"/>
      <c r="AX664" s="2"/>
      <c r="AY664" s="2"/>
    </row>
    <row r="665" ht="15.75" customHeight="1">
      <c r="AH665" s="2"/>
      <c r="AW665" s="2"/>
      <c r="AX665" s="2"/>
      <c r="AY665" s="2"/>
    </row>
    <row r="666" ht="15.75" customHeight="1">
      <c r="AH666" s="2"/>
      <c r="AW666" s="2"/>
      <c r="AX666" s="2"/>
      <c r="AY666" s="2"/>
    </row>
    <row r="667" ht="15.75" customHeight="1">
      <c r="AH667" s="2"/>
      <c r="AW667" s="2"/>
      <c r="AX667" s="2"/>
      <c r="AY667" s="2"/>
    </row>
    <row r="668" ht="15.75" customHeight="1">
      <c r="AH668" s="2"/>
      <c r="AW668" s="2"/>
      <c r="AX668" s="2"/>
      <c r="AY668" s="2"/>
    </row>
    <row r="669" ht="15.75" customHeight="1">
      <c r="AH669" s="2"/>
      <c r="AW669" s="2"/>
      <c r="AX669" s="2"/>
      <c r="AY669" s="2"/>
    </row>
    <row r="670" ht="15.75" customHeight="1">
      <c r="AH670" s="2"/>
      <c r="AW670" s="2"/>
      <c r="AX670" s="2"/>
      <c r="AY670" s="2"/>
    </row>
    <row r="671" ht="15.75" customHeight="1">
      <c r="AH671" s="2"/>
      <c r="AW671" s="2"/>
      <c r="AX671" s="2"/>
      <c r="AY671" s="2"/>
    </row>
    <row r="672" ht="15.75" customHeight="1">
      <c r="AH672" s="2"/>
      <c r="AW672" s="2"/>
      <c r="AX672" s="2"/>
      <c r="AY672" s="2"/>
    </row>
    <row r="673" ht="15.75" customHeight="1">
      <c r="AH673" s="2"/>
      <c r="AW673" s="2"/>
      <c r="AX673" s="2"/>
      <c r="AY673" s="2"/>
    </row>
    <row r="674" ht="15.75" customHeight="1">
      <c r="AH674" s="2"/>
      <c r="AW674" s="2"/>
      <c r="AX674" s="2"/>
      <c r="AY674" s="2"/>
    </row>
    <row r="675" ht="15.75" customHeight="1">
      <c r="AH675" s="2"/>
      <c r="AW675" s="2"/>
      <c r="AX675" s="2"/>
      <c r="AY675" s="2"/>
    </row>
    <row r="676" ht="15.75" customHeight="1">
      <c r="AH676" s="2"/>
      <c r="AW676" s="2"/>
      <c r="AX676" s="2"/>
      <c r="AY676" s="2"/>
    </row>
    <row r="677" ht="15.75" customHeight="1">
      <c r="AH677" s="2"/>
      <c r="AW677" s="2"/>
      <c r="AX677" s="2"/>
      <c r="AY677" s="2"/>
    </row>
    <row r="678" ht="15.75" customHeight="1">
      <c r="AH678" s="2"/>
      <c r="AW678" s="2"/>
      <c r="AX678" s="2"/>
      <c r="AY678" s="2"/>
    </row>
    <row r="679" ht="15.75" customHeight="1">
      <c r="AH679" s="2"/>
      <c r="AW679" s="2"/>
      <c r="AX679" s="2"/>
      <c r="AY679" s="2"/>
    </row>
    <row r="680" ht="15.75" customHeight="1">
      <c r="AH680" s="2"/>
      <c r="AW680" s="2"/>
      <c r="AX680" s="2"/>
      <c r="AY680" s="2"/>
    </row>
    <row r="681" ht="15.75" customHeight="1">
      <c r="AH681" s="2"/>
      <c r="AW681" s="2"/>
      <c r="AX681" s="2"/>
      <c r="AY681" s="2"/>
    </row>
    <row r="682" ht="15.75" customHeight="1">
      <c r="AH682" s="2"/>
      <c r="AW682" s="2"/>
      <c r="AX682" s="2"/>
      <c r="AY682" s="2"/>
    </row>
    <row r="683" ht="15.75" customHeight="1">
      <c r="AH683" s="2"/>
      <c r="AW683" s="2"/>
      <c r="AX683" s="2"/>
      <c r="AY683" s="2"/>
    </row>
    <row r="684" ht="15.75" customHeight="1">
      <c r="AH684" s="2"/>
      <c r="AW684" s="2"/>
      <c r="AX684" s="2"/>
      <c r="AY684" s="2"/>
    </row>
    <row r="685" ht="15.75" customHeight="1">
      <c r="AH685" s="2"/>
      <c r="AW685" s="2"/>
      <c r="AX685" s="2"/>
      <c r="AY685" s="2"/>
    </row>
    <row r="686" ht="15.75" customHeight="1">
      <c r="AH686" s="2"/>
      <c r="AW686" s="2"/>
      <c r="AX686" s="2"/>
      <c r="AY686" s="2"/>
    </row>
    <row r="687" ht="15.75" customHeight="1">
      <c r="AH687" s="2"/>
      <c r="AW687" s="2"/>
      <c r="AX687" s="2"/>
      <c r="AY687" s="2"/>
    </row>
    <row r="688" ht="15.75" customHeight="1">
      <c r="AH688" s="2"/>
      <c r="AW688" s="2"/>
      <c r="AX688" s="2"/>
      <c r="AY688" s="2"/>
    </row>
    <row r="689" ht="15.75" customHeight="1">
      <c r="AH689" s="2"/>
      <c r="AW689" s="2"/>
      <c r="AX689" s="2"/>
      <c r="AY689" s="2"/>
    </row>
    <row r="690" ht="15.75" customHeight="1">
      <c r="AH690" s="2"/>
      <c r="AW690" s="2"/>
      <c r="AX690" s="2"/>
      <c r="AY690" s="2"/>
    </row>
    <row r="691" ht="15.75" customHeight="1">
      <c r="AH691" s="2"/>
      <c r="AW691" s="2"/>
      <c r="AX691" s="2"/>
      <c r="AY691" s="2"/>
    </row>
    <row r="692" ht="15.75" customHeight="1">
      <c r="AH692" s="2"/>
      <c r="AW692" s="2"/>
      <c r="AX692" s="2"/>
      <c r="AY692" s="2"/>
    </row>
    <row r="693" ht="15.75" customHeight="1">
      <c r="AH693" s="2"/>
      <c r="AW693" s="2"/>
      <c r="AX693" s="2"/>
      <c r="AY693" s="2"/>
    </row>
    <row r="694" ht="15.75" customHeight="1">
      <c r="AH694" s="2"/>
      <c r="AW694" s="2"/>
      <c r="AX694" s="2"/>
      <c r="AY694" s="2"/>
    </row>
    <row r="695" ht="15.75" customHeight="1">
      <c r="AH695" s="2"/>
      <c r="AW695" s="2"/>
      <c r="AX695" s="2"/>
      <c r="AY695" s="2"/>
    </row>
    <row r="696" ht="15.75" customHeight="1">
      <c r="AH696" s="2"/>
      <c r="AW696" s="2"/>
      <c r="AX696" s="2"/>
      <c r="AY696" s="2"/>
    </row>
    <row r="697" ht="15.75" customHeight="1">
      <c r="AH697" s="2"/>
      <c r="AW697" s="2"/>
      <c r="AX697" s="2"/>
      <c r="AY697" s="2"/>
    </row>
    <row r="698" ht="15.75" customHeight="1">
      <c r="AH698" s="2"/>
      <c r="AW698" s="2"/>
      <c r="AX698" s="2"/>
      <c r="AY698" s="2"/>
    </row>
    <row r="699" ht="15.75" customHeight="1">
      <c r="AH699" s="2"/>
      <c r="AW699" s="2"/>
      <c r="AX699" s="2"/>
      <c r="AY699" s="2"/>
    </row>
    <row r="700" ht="15.75" customHeight="1">
      <c r="AH700" s="2"/>
      <c r="AW700" s="2"/>
      <c r="AX700" s="2"/>
      <c r="AY700" s="2"/>
    </row>
    <row r="701" ht="15.75" customHeight="1">
      <c r="AH701" s="2"/>
      <c r="AW701" s="2"/>
      <c r="AX701" s="2"/>
      <c r="AY701" s="2"/>
    </row>
    <row r="702" ht="15.75" customHeight="1">
      <c r="AH702" s="2"/>
      <c r="AW702" s="2"/>
      <c r="AX702" s="2"/>
      <c r="AY702" s="2"/>
    </row>
    <row r="703" ht="15.75" customHeight="1">
      <c r="AH703" s="2"/>
      <c r="AW703" s="2"/>
      <c r="AX703" s="2"/>
      <c r="AY703" s="2"/>
    </row>
    <row r="704" ht="15.75" customHeight="1">
      <c r="AH704" s="2"/>
      <c r="AW704" s="2"/>
      <c r="AX704" s="2"/>
      <c r="AY704" s="2"/>
    </row>
    <row r="705" ht="15.75" customHeight="1">
      <c r="AH705" s="2"/>
      <c r="AW705" s="2"/>
      <c r="AX705" s="2"/>
      <c r="AY705" s="2"/>
    </row>
    <row r="706" ht="15.75" customHeight="1">
      <c r="AH706" s="2"/>
      <c r="AW706" s="2"/>
      <c r="AX706" s="2"/>
      <c r="AY706" s="2"/>
    </row>
    <row r="707" ht="15.75" customHeight="1">
      <c r="AH707" s="2"/>
      <c r="AW707" s="2"/>
      <c r="AX707" s="2"/>
      <c r="AY707" s="2"/>
    </row>
    <row r="708" ht="15.75" customHeight="1">
      <c r="AH708" s="2"/>
      <c r="AW708" s="2"/>
      <c r="AX708" s="2"/>
      <c r="AY708" s="2"/>
    </row>
    <row r="709" ht="15.75" customHeight="1">
      <c r="AH709" s="2"/>
      <c r="AW709" s="2"/>
      <c r="AX709" s="2"/>
      <c r="AY709" s="2"/>
    </row>
    <row r="710" ht="15.75" customHeight="1">
      <c r="AH710" s="2"/>
      <c r="AW710" s="2"/>
      <c r="AX710" s="2"/>
      <c r="AY710" s="2"/>
    </row>
    <row r="711" ht="15.75" customHeight="1">
      <c r="AH711" s="2"/>
      <c r="AW711" s="2"/>
      <c r="AX711" s="2"/>
      <c r="AY711" s="2"/>
    </row>
    <row r="712" ht="15.75" customHeight="1">
      <c r="AH712" s="2"/>
      <c r="AW712" s="2"/>
      <c r="AX712" s="2"/>
      <c r="AY712" s="2"/>
    </row>
    <row r="713" ht="15.75" customHeight="1">
      <c r="AH713" s="2"/>
      <c r="AW713" s="2"/>
      <c r="AX713" s="2"/>
      <c r="AY713" s="2"/>
    </row>
    <row r="714" ht="15.75" customHeight="1">
      <c r="AH714" s="2"/>
      <c r="AW714" s="2"/>
      <c r="AX714" s="2"/>
      <c r="AY714" s="2"/>
    </row>
    <row r="715" ht="15.75" customHeight="1">
      <c r="AH715" s="2"/>
      <c r="AW715" s="2"/>
      <c r="AX715" s="2"/>
      <c r="AY715" s="2"/>
    </row>
    <row r="716" ht="15.75" customHeight="1">
      <c r="AH716" s="2"/>
      <c r="AW716" s="2"/>
      <c r="AX716" s="2"/>
      <c r="AY716" s="2"/>
    </row>
    <row r="717" ht="15.75" customHeight="1">
      <c r="AH717" s="2"/>
      <c r="AW717" s="2"/>
      <c r="AX717" s="2"/>
      <c r="AY717" s="2"/>
    </row>
    <row r="718" ht="15.75" customHeight="1">
      <c r="AH718" s="2"/>
      <c r="AW718" s="2"/>
      <c r="AX718" s="2"/>
      <c r="AY718" s="2"/>
    </row>
    <row r="719" ht="15.75" customHeight="1">
      <c r="AH719" s="2"/>
      <c r="AW719" s="2"/>
      <c r="AX719" s="2"/>
      <c r="AY719" s="2"/>
    </row>
    <row r="720" ht="15.75" customHeight="1">
      <c r="AH720" s="2"/>
      <c r="AW720" s="2"/>
      <c r="AX720" s="2"/>
      <c r="AY720" s="2"/>
    </row>
    <row r="721" ht="15.75" customHeight="1">
      <c r="AH721" s="2"/>
      <c r="AW721" s="2"/>
      <c r="AX721" s="2"/>
      <c r="AY721" s="2"/>
    </row>
    <row r="722" ht="15.75" customHeight="1">
      <c r="AH722" s="2"/>
      <c r="AW722" s="2"/>
      <c r="AX722" s="2"/>
      <c r="AY722" s="2"/>
    </row>
    <row r="723" ht="15.75" customHeight="1">
      <c r="AH723" s="2"/>
      <c r="AW723" s="2"/>
      <c r="AX723" s="2"/>
      <c r="AY723" s="2"/>
    </row>
    <row r="724" ht="15.75" customHeight="1">
      <c r="AH724" s="2"/>
      <c r="AW724" s="2"/>
      <c r="AX724" s="2"/>
      <c r="AY724" s="2"/>
    </row>
    <row r="725" ht="15.75" customHeight="1">
      <c r="AH725" s="2"/>
      <c r="AW725" s="2"/>
      <c r="AX725" s="2"/>
      <c r="AY725" s="2"/>
    </row>
    <row r="726" ht="15.75" customHeight="1">
      <c r="AH726" s="2"/>
      <c r="AW726" s="2"/>
      <c r="AX726" s="2"/>
      <c r="AY726" s="2"/>
    </row>
    <row r="727" ht="15.75" customHeight="1">
      <c r="AH727" s="2"/>
      <c r="AW727" s="2"/>
      <c r="AX727" s="2"/>
      <c r="AY727" s="2"/>
    </row>
    <row r="728" ht="15.75" customHeight="1">
      <c r="AH728" s="2"/>
      <c r="AW728" s="2"/>
      <c r="AX728" s="2"/>
      <c r="AY728" s="2"/>
    </row>
    <row r="729" ht="15.75" customHeight="1">
      <c r="AH729" s="2"/>
      <c r="AW729" s="2"/>
      <c r="AX729" s="2"/>
      <c r="AY729" s="2"/>
    </row>
    <row r="730" ht="15.75" customHeight="1">
      <c r="AH730" s="2"/>
      <c r="AW730" s="2"/>
      <c r="AX730" s="2"/>
      <c r="AY730" s="2"/>
    </row>
    <row r="731" ht="15.75" customHeight="1">
      <c r="AH731" s="2"/>
      <c r="AW731" s="2"/>
      <c r="AX731" s="2"/>
      <c r="AY731" s="2"/>
    </row>
    <row r="732" ht="15.75" customHeight="1">
      <c r="AH732" s="2"/>
      <c r="AW732" s="2"/>
      <c r="AX732" s="2"/>
      <c r="AY732" s="2"/>
    </row>
    <row r="733" ht="15.75" customHeight="1">
      <c r="AH733" s="2"/>
      <c r="AW733" s="2"/>
      <c r="AX733" s="2"/>
      <c r="AY733" s="2"/>
    </row>
    <row r="734" ht="15.75" customHeight="1">
      <c r="AH734" s="2"/>
      <c r="AW734" s="2"/>
      <c r="AX734" s="2"/>
      <c r="AY734" s="2"/>
    </row>
    <row r="735" ht="15.75" customHeight="1">
      <c r="AH735" s="2"/>
      <c r="AW735" s="2"/>
      <c r="AX735" s="2"/>
      <c r="AY735" s="2"/>
    </row>
    <row r="736" ht="15.75" customHeight="1">
      <c r="AH736" s="2"/>
      <c r="AW736" s="2"/>
      <c r="AX736" s="2"/>
      <c r="AY736" s="2"/>
    </row>
    <row r="737" ht="15.75" customHeight="1">
      <c r="AH737" s="2"/>
      <c r="AW737" s="2"/>
      <c r="AX737" s="2"/>
      <c r="AY737" s="2"/>
    </row>
    <row r="738" ht="15.75" customHeight="1">
      <c r="AH738" s="2"/>
      <c r="AW738" s="2"/>
      <c r="AX738" s="2"/>
      <c r="AY738" s="2"/>
    </row>
    <row r="739" ht="15.75" customHeight="1">
      <c r="AH739" s="2"/>
      <c r="AW739" s="2"/>
      <c r="AX739" s="2"/>
      <c r="AY739" s="2"/>
    </row>
    <row r="740" ht="15.75" customHeight="1">
      <c r="AH740" s="2"/>
      <c r="AW740" s="2"/>
      <c r="AX740" s="2"/>
      <c r="AY740" s="2"/>
    </row>
    <row r="741" ht="15.75" customHeight="1">
      <c r="AH741" s="2"/>
      <c r="AW741" s="2"/>
      <c r="AX741" s="2"/>
      <c r="AY741" s="2"/>
    </row>
    <row r="742" ht="15.75" customHeight="1">
      <c r="AH742" s="2"/>
      <c r="AW742" s="2"/>
      <c r="AX742" s="2"/>
      <c r="AY742" s="2"/>
    </row>
    <row r="743" ht="15.75" customHeight="1">
      <c r="AH743" s="2"/>
      <c r="AW743" s="2"/>
      <c r="AX743" s="2"/>
      <c r="AY743" s="2"/>
    </row>
    <row r="744" ht="15.75" customHeight="1">
      <c r="AH744" s="2"/>
      <c r="AW744" s="2"/>
      <c r="AX744" s="2"/>
      <c r="AY744" s="2"/>
    </row>
    <row r="745" ht="15.75" customHeight="1">
      <c r="AH745" s="2"/>
      <c r="AW745" s="2"/>
      <c r="AX745" s="2"/>
      <c r="AY745" s="2"/>
    </row>
    <row r="746" ht="15.75" customHeight="1">
      <c r="AH746" s="2"/>
      <c r="AW746" s="2"/>
      <c r="AX746" s="2"/>
      <c r="AY746" s="2"/>
    </row>
    <row r="747" ht="15.75" customHeight="1">
      <c r="AH747" s="2"/>
      <c r="AW747" s="2"/>
      <c r="AX747" s="2"/>
      <c r="AY747" s="2"/>
    </row>
    <row r="748" ht="15.75" customHeight="1">
      <c r="AH748" s="2"/>
      <c r="AW748" s="2"/>
      <c r="AX748" s="2"/>
      <c r="AY748" s="2"/>
    </row>
    <row r="749" ht="15.75" customHeight="1">
      <c r="AH749" s="2"/>
      <c r="AW749" s="2"/>
      <c r="AX749" s="2"/>
      <c r="AY749" s="2"/>
    </row>
    <row r="750" ht="15.75" customHeight="1">
      <c r="AH750" s="2"/>
      <c r="AW750" s="2"/>
      <c r="AX750" s="2"/>
      <c r="AY750" s="2"/>
    </row>
    <row r="751" ht="15.75" customHeight="1">
      <c r="AH751" s="2"/>
      <c r="AW751" s="2"/>
      <c r="AX751" s="2"/>
      <c r="AY751" s="2"/>
    </row>
    <row r="752" ht="15.75" customHeight="1">
      <c r="AH752" s="2"/>
      <c r="AW752" s="2"/>
      <c r="AX752" s="2"/>
      <c r="AY752" s="2"/>
    </row>
    <row r="753" ht="15.75" customHeight="1">
      <c r="AH753" s="2"/>
      <c r="AW753" s="2"/>
      <c r="AX753" s="2"/>
      <c r="AY753" s="2"/>
    </row>
    <row r="754" ht="15.75" customHeight="1">
      <c r="AH754" s="2"/>
      <c r="AW754" s="2"/>
      <c r="AX754" s="2"/>
      <c r="AY754" s="2"/>
    </row>
    <row r="755" ht="15.75" customHeight="1">
      <c r="AH755" s="2"/>
      <c r="AW755" s="2"/>
      <c r="AX755" s="2"/>
      <c r="AY755" s="2"/>
    </row>
    <row r="756" ht="15.75" customHeight="1">
      <c r="AH756" s="2"/>
      <c r="AW756" s="2"/>
      <c r="AX756" s="2"/>
      <c r="AY756" s="2"/>
    </row>
    <row r="757" ht="15.75" customHeight="1">
      <c r="AH757" s="2"/>
      <c r="AW757" s="2"/>
      <c r="AX757" s="2"/>
      <c r="AY757" s="2"/>
    </row>
    <row r="758" ht="15.75" customHeight="1">
      <c r="AH758" s="2"/>
      <c r="AW758" s="2"/>
      <c r="AX758" s="2"/>
      <c r="AY758" s="2"/>
    </row>
    <row r="759" ht="15.75" customHeight="1">
      <c r="AH759" s="2"/>
      <c r="AW759" s="2"/>
      <c r="AX759" s="2"/>
      <c r="AY759" s="2"/>
    </row>
    <row r="760" ht="15.75" customHeight="1">
      <c r="AH760" s="2"/>
      <c r="AW760" s="2"/>
      <c r="AX760" s="2"/>
      <c r="AY760" s="2"/>
    </row>
    <row r="761" ht="15.75" customHeight="1">
      <c r="AH761" s="2"/>
      <c r="AW761" s="2"/>
      <c r="AX761" s="2"/>
      <c r="AY761" s="2"/>
    </row>
    <row r="762" ht="15.75" customHeight="1">
      <c r="AH762" s="2"/>
      <c r="AW762" s="2"/>
      <c r="AX762" s="2"/>
      <c r="AY762" s="2"/>
    </row>
    <row r="763" ht="15.75" customHeight="1">
      <c r="AH763" s="2"/>
      <c r="AW763" s="2"/>
      <c r="AX763" s="2"/>
      <c r="AY763" s="2"/>
    </row>
    <row r="764" ht="15.75" customHeight="1">
      <c r="AH764" s="2"/>
      <c r="AW764" s="2"/>
      <c r="AX764" s="2"/>
      <c r="AY764" s="2"/>
    </row>
    <row r="765" ht="15.75" customHeight="1">
      <c r="AH765" s="2"/>
      <c r="AW765" s="2"/>
      <c r="AX765" s="2"/>
      <c r="AY765" s="2"/>
    </row>
    <row r="766" ht="15.75" customHeight="1">
      <c r="AH766" s="2"/>
      <c r="AW766" s="2"/>
      <c r="AX766" s="2"/>
      <c r="AY766" s="2"/>
    </row>
    <row r="767" ht="15.75" customHeight="1">
      <c r="AH767" s="2"/>
      <c r="AW767" s="2"/>
      <c r="AX767" s="2"/>
      <c r="AY767" s="2"/>
    </row>
    <row r="768" ht="15.75" customHeight="1">
      <c r="AH768" s="2"/>
      <c r="AW768" s="2"/>
      <c r="AX768" s="2"/>
      <c r="AY768" s="2"/>
    </row>
    <row r="769" ht="15.75" customHeight="1">
      <c r="AH769" s="2"/>
      <c r="AW769" s="2"/>
      <c r="AX769" s="2"/>
      <c r="AY769" s="2"/>
    </row>
    <row r="770" ht="15.75" customHeight="1">
      <c r="AH770" s="2"/>
      <c r="AW770" s="2"/>
      <c r="AX770" s="2"/>
      <c r="AY770" s="2"/>
    </row>
    <row r="771" ht="15.75" customHeight="1">
      <c r="AH771" s="2"/>
      <c r="AW771" s="2"/>
      <c r="AX771" s="2"/>
      <c r="AY771" s="2"/>
    </row>
    <row r="772" ht="15.75" customHeight="1">
      <c r="AH772" s="2"/>
      <c r="AW772" s="2"/>
      <c r="AX772" s="2"/>
      <c r="AY772" s="2"/>
    </row>
    <row r="773" ht="15.75" customHeight="1">
      <c r="AH773" s="2"/>
      <c r="AW773" s="2"/>
      <c r="AX773" s="2"/>
      <c r="AY773" s="2"/>
    </row>
    <row r="774" ht="15.75" customHeight="1">
      <c r="AH774" s="2"/>
      <c r="AW774" s="2"/>
      <c r="AX774" s="2"/>
      <c r="AY774" s="2"/>
    </row>
    <row r="775" ht="15.75" customHeight="1">
      <c r="AH775" s="2"/>
      <c r="AW775" s="2"/>
      <c r="AX775" s="2"/>
      <c r="AY775" s="2"/>
    </row>
    <row r="776" ht="15.75" customHeight="1">
      <c r="AH776" s="2"/>
      <c r="AW776" s="2"/>
      <c r="AX776" s="2"/>
      <c r="AY776" s="2"/>
    </row>
    <row r="777" ht="15.75" customHeight="1">
      <c r="AH777" s="2"/>
      <c r="AW777" s="2"/>
      <c r="AX777" s="2"/>
      <c r="AY777" s="2"/>
    </row>
    <row r="778" ht="15.75" customHeight="1">
      <c r="AH778" s="2"/>
      <c r="AW778" s="2"/>
      <c r="AX778" s="2"/>
      <c r="AY778" s="2"/>
    </row>
    <row r="779" ht="15.75" customHeight="1">
      <c r="AH779" s="2"/>
      <c r="AW779" s="2"/>
      <c r="AX779" s="2"/>
      <c r="AY779" s="2"/>
    </row>
    <row r="780" ht="15.75" customHeight="1">
      <c r="AH780" s="2"/>
      <c r="AW780" s="2"/>
      <c r="AX780" s="2"/>
      <c r="AY780" s="2"/>
    </row>
    <row r="781" ht="15.75" customHeight="1">
      <c r="AH781" s="2"/>
      <c r="AW781" s="2"/>
      <c r="AX781" s="2"/>
      <c r="AY781" s="2"/>
    </row>
    <row r="782" ht="15.75" customHeight="1">
      <c r="AH782" s="2"/>
      <c r="AW782" s="2"/>
      <c r="AX782" s="2"/>
      <c r="AY782" s="2"/>
    </row>
    <row r="783" ht="15.75" customHeight="1">
      <c r="AH783" s="2"/>
      <c r="AW783" s="2"/>
      <c r="AX783" s="2"/>
      <c r="AY783" s="2"/>
    </row>
    <row r="784" ht="15.75" customHeight="1">
      <c r="AH784" s="2"/>
      <c r="AW784" s="2"/>
      <c r="AX784" s="2"/>
      <c r="AY784" s="2"/>
    </row>
    <row r="785" ht="15.75" customHeight="1">
      <c r="AH785" s="2"/>
      <c r="AW785" s="2"/>
      <c r="AX785" s="2"/>
      <c r="AY785" s="2"/>
    </row>
    <row r="786" ht="15.75" customHeight="1">
      <c r="AH786" s="2"/>
      <c r="AW786" s="2"/>
      <c r="AX786" s="2"/>
      <c r="AY786" s="2"/>
    </row>
    <row r="787" ht="15.75" customHeight="1">
      <c r="AH787" s="2"/>
      <c r="AW787" s="2"/>
      <c r="AX787" s="2"/>
      <c r="AY787" s="2"/>
    </row>
    <row r="788" ht="15.75" customHeight="1">
      <c r="AH788" s="2"/>
      <c r="AW788" s="2"/>
      <c r="AX788" s="2"/>
      <c r="AY788" s="2"/>
    </row>
    <row r="789" ht="15.75" customHeight="1">
      <c r="AH789" s="2"/>
      <c r="AW789" s="2"/>
      <c r="AX789" s="2"/>
      <c r="AY789" s="2"/>
    </row>
    <row r="790" ht="15.75" customHeight="1">
      <c r="AH790" s="2"/>
      <c r="AW790" s="2"/>
      <c r="AX790" s="2"/>
      <c r="AY790" s="2"/>
    </row>
    <row r="791" ht="15.75" customHeight="1">
      <c r="AH791" s="2"/>
      <c r="AW791" s="2"/>
      <c r="AX791" s="2"/>
      <c r="AY791" s="2"/>
    </row>
    <row r="792" ht="15.75" customHeight="1">
      <c r="AH792" s="2"/>
      <c r="AW792" s="2"/>
      <c r="AX792" s="2"/>
      <c r="AY792" s="2"/>
    </row>
    <row r="793" ht="15.75" customHeight="1">
      <c r="AH793" s="2"/>
      <c r="AW793" s="2"/>
      <c r="AX793" s="2"/>
      <c r="AY793" s="2"/>
    </row>
    <row r="794" ht="15.75" customHeight="1">
      <c r="AH794" s="2"/>
      <c r="AW794" s="2"/>
      <c r="AX794" s="2"/>
      <c r="AY794" s="2"/>
    </row>
    <row r="795" ht="15.75" customHeight="1">
      <c r="AH795" s="2"/>
      <c r="AW795" s="2"/>
      <c r="AX795" s="2"/>
      <c r="AY795" s="2"/>
    </row>
    <row r="796" ht="15.75" customHeight="1">
      <c r="AH796" s="2"/>
      <c r="AW796" s="2"/>
      <c r="AX796" s="2"/>
      <c r="AY796" s="2"/>
    </row>
    <row r="797" ht="15.75" customHeight="1">
      <c r="AH797" s="2"/>
      <c r="AW797" s="2"/>
      <c r="AX797" s="2"/>
      <c r="AY797" s="2"/>
    </row>
    <row r="798" ht="15.75" customHeight="1">
      <c r="AH798" s="2"/>
      <c r="AW798" s="2"/>
      <c r="AX798" s="2"/>
      <c r="AY798" s="2"/>
    </row>
    <row r="799" ht="15.75" customHeight="1">
      <c r="AH799" s="2"/>
      <c r="AW799" s="2"/>
      <c r="AX799" s="2"/>
      <c r="AY799" s="2"/>
    </row>
    <row r="800" ht="15.75" customHeight="1">
      <c r="AH800" s="2"/>
      <c r="AW800" s="2"/>
      <c r="AX800" s="2"/>
      <c r="AY800" s="2"/>
    </row>
    <row r="801" ht="15.75" customHeight="1">
      <c r="AH801" s="2"/>
      <c r="AW801" s="2"/>
      <c r="AX801" s="2"/>
      <c r="AY801" s="2"/>
    </row>
    <row r="802" ht="15.75" customHeight="1">
      <c r="AH802" s="2"/>
      <c r="AW802" s="2"/>
      <c r="AX802" s="2"/>
      <c r="AY802" s="2"/>
    </row>
    <row r="803" ht="15.75" customHeight="1">
      <c r="AH803" s="2"/>
      <c r="AW803" s="2"/>
      <c r="AX803" s="2"/>
      <c r="AY803" s="2"/>
    </row>
    <row r="804" ht="15.75" customHeight="1">
      <c r="AH804" s="2"/>
      <c r="AW804" s="2"/>
      <c r="AX804" s="2"/>
      <c r="AY804" s="2"/>
    </row>
    <row r="805" ht="15.75" customHeight="1">
      <c r="AH805" s="2"/>
      <c r="AW805" s="2"/>
      <c r="AX805" s="2"/>
      <c r="AY805" s="2"/>
    </row>
    <row r="806" ht="15.75" customHeight="1">
      <c r="AH806" s="2"/>
      <c r="AW806" s="2"/>
      <c r="AX806" s="2"/>
      <c r="AY806" s="2"/>
    </row>
    <row r="807" ht="15.75" customHeight="1">
      <c r="AH807" s="2"/>
      <c r="AW807" s="2"/>
      <c r="AX807" s="2"/>
      <c r="AY807" s="2"/>
    </row>
    <row r="808" ht="15.75" customHeight="1">
      <c r="AH808" s="2"/>
      <c r="AW808" s="2"/>
      <c r="AX808" s="2"/>
      <c r="AY808" s="2"/>
    </row>
    <row r="809" ht="15.75" customHeight="1">
      <c r="AH809" s="2"/>
      <c r="AW809" s="2"/>
      <c r="AX809" s="2"/>
      <c r="AY809" s="2"/>
    </row>
    <row r="810" ht="15.75" customHeight="1">
      <c r="AH810" s="2"/>
      <c r="AW810" s="2"/>
      <c r="AX810" s="2"/>
      <c r="AY810" s="2"/>
    </row>
    <row r="811" ht="15.75" customHeight="1">
      <c r="AH811" s="2"/>
      <c r="AW811" s="2"/>
      <c r="AX811" s="2"/>
      <c r="AY811" s="2"/>
    </row>
    <row r="812" ht="15.75" customHeight="1">
      <c r="AH812" s="2"/>
      <c r="AW812" s="2"/>
      <c r="AX812" s="2"/>
      <c r="AY812" s="2"/>
    </row>
    <row r="813" ht="15.75" customHeight="1">
      <c r="AH813" s="2"/>
      <c r="AW813" s="2"/>
      <c r="AX813" s="2"/>
      <c r="AY813" s="2"/>
    </row>
    <row r="814" ht="15.75" customHeight="1">
      <c r="AH814" s="2"/>
      <c r="AW814" s="2"/>
      <c r="AX814" s="2"/>
      <c r="AY814" s="2"/>
    </row>
    <row r="815" ht="15.75" customHeight="1">
      <c r="AH815" s="2"/>
      <c r="AW815" s="2"/>
      <c r="AX815" s="2"/>
      <c r="AY815" s="2"/>
    </row>
    <row r="816" ht="15.75" customHeight="1">
      <c r="AH816" s="2"/>
      <c r="AW816" s="2"/>
      <c r="AX816" s="2"/>
      <c r="AY816" s="2"/>
    </row>
    <row r="817" ht="15.75" customHeight="1">
      <c r="AH817" s="2"/>
      <c r="AW817" s="2"/>
      <c r="AX817" s="2"/>
      <c r="AY817" s="2"/>
    </row>
    <row r="818" ht="15.75" customHeight="1">
      <c r="AH818" s="2"/>
      <c r="AW818" s="2"/>
      <c r="AX818" s="2"/>
      <c r="AY818" s="2"/>
    </row>
    <row r="819" ht="15.75" customHeight="1">
      <c r="AH819" s="2"/>
      <c r="AW819" s="2"/>
      <c r="AX819" s="2"/>
      <c r="AY819" s="2"/>
    </row>
    <row r="820" ht="15.75" customHeight="1">
      <c r="AH820" s="2"/>
      <c r="AW820" s="2"/>
      <c r="AX820" s="2"/>
      <c r="AY820" s="2"/>
    </row>
    <row r="821" ht="15.75" customHeight="1">
      <c r="AH821" s="2"/>
      <c r="AW821" s="2"/>
      <c r="AX821" s="2"/>
      <c r="AY821" s="2"/>
    </row>
    <row r="822" ht="15.75" customHeight="1">
      <c r="AH822" s="2"/>
      <c r="AW822" s="2"/>
      <c r="AX822" s="2"/>
      <c r="AY822" s="2"/>
    </row>
    <row r="823" ht="15.75" customHeight="1">
      <c r="AH823" s="2"/>
      <c r="AW823" s="2"/>
      <c r="AX823" s="2"/>
      <c r="AY823" s="2"/>
    </row>
    <row r="824" ht="15.75" customHeight="1">
      <c r="AH824" s="2"/>
      <c r="AW824" s="2"/>
      <c r="AX824" s="2"/>
      <c r="AY824" s="2"/>
    </row>
    <row r="825" ht="15.75" customHeight="1">
      <c r="AH825" s="2"/>
      <c r="AW825" s="2"/>
      <c r="AX825" s="2"/>
      <c r="AY825" s="2"/>
    </row>
    <row r="826" ht="15.75" customHeight="1">
      <c r="AH826" s="2"/>
      <c r="AW826" s="2"/>
      <c r="AX826" s="2"/>
      <c r="AY826" s="2"/>
    </row>
    <row r="827" ht="15.75" customHeight="1">
      <c r="AH827" s="2"/>
      <c r="AW827" s="2"/>
      <c r="AX827" s="2"/>
      <c r="AY827" s="2"/>
    </row>
    <row r="828" ht="15.75" customHeight="1">
      <c r="AH828" s="2"/>
      <c r="AW828" s="2"/>
      <c r="AX828" s="2"/>
      <c r="AY828" s="2"/>
    </row>
    <row r="829" ht="15.75" customHeight="1">
      <c r="AH829" s="2"/>
      <c r="AW829" s="2"/>
      <c r="AX829" s="2"/>
      <c r="AY829" s="2"/>
    </row>
    <row r="830" ht="15.75" customHeight="1">
      <c r="AH830" s="2"/>
      <c r="AW830" s="2"/>
      <c r="AX830" s="2"/>
      <c r="AY830" s="2"/>
    </row>
    <row r="831" ht="15.75" customHeight="1">
      <c r="AH831" s="2"/>
      <c r="AW831" s="2"/>
      <c r="AX831" s="2"/>
      <c r="AY831" s="2"/>
    </row>
    <row r="832" ht="15.75" customHeight="1">
      <c r="AH832" s="2"/>
      <c r="AW832" s="2"/>
      <c r="AX832" s="2"/>
      <c r="AY832" s="2"/>
    </row>
    <row r="833" ht="15.75" customHeight="1">
      <c r="AH833" s="2"/>
      <c r="AW833" s="2"/>
      <c r="AX833" s="2"/>
      <c r="AY833" s="2"/>
    </row>
    <row r="834" ht="15.75" customHeight="1">
      <c r="AH834" s="2"/>
      <c r="AW834" s="2"/>
      <c r="AX834" s="2"/>
      <c r="AY834" s="2"/>
    </row>
    <row r="835" ht="15.75" customHeight="1">
      <c r="AH835" s="2"/>
      <c r="AW835" s="2"/>
      <c r="AX835" s="2"/>
      <c r="AY835" s="2"/>
    </row>
    <row r="836" ht="15.75" customHeight="1">
      <c r="AH836" s="2"/>
      <c r="AW836" s="2"/>
      <c r="AX836" s="2"/>
      <c r="AY836" s="2"/>
    </row>
    <row r="837" ht="15.75" customHeight="1">
      <c r="AH837" s="2"/>
      <c r="AW837" s="2"/>
      <c r="AX837" s="2"/>
      <c r="AY837" s="2"/>
    </row>
    <row r="838" ht="15.75" customHeight="1">
      <c r="AH838" s="2"/>
      <c r="AW838" s="2"/>
      <c r="AX838" s="2"/>
      <c r="AY838" s="2"/>
    </row>
    <row r="839" ht="15.75" customHeight="1">
      <c r="AH839" s="2"/>
      <c r="AW839" s="2"/>
      <c r="AX839" s="2"/>
      <c r="AY839" s="2"/>
    </row>
    <row r="840" ht="15.75" customHeight="1">
      <c r="AH840" s="2"/>
      <c r="AW840" s="2"/>
      <c r="AX840" s="2"/>
      <c r="AY840" s="2"/>
    </row>
    <row r="841" ht="15.75" customHeight="1">
      <c r="AH841" s="2"/>
      <c r="AW841" s="2"/>
      <c r="AX841" s="2"/>
      <c r="AY841" s="2"/>
    </row>
    <row r="842" ht="15.75" customHeight="1">
      <c r="AH842" s="2"/>
      <c r="AW842" s="2"/>
      <c r="AX842" s="2"/>
      <c r="AY842" s="2"/>
    </row>
    <row r="843" ht="15.75" customHeight="1">
      <c r="AH843" s="2"/>
      <c r="AW843" s="2"/>
      <c r="AX843" s="2"/>
      <c r="AY843" s="2"/>
    </row>
    <row r="844" ht="15.75" customHeight="1">
      <c r="AH844" s="2"/>
      <c r="AW844" s="2"/>
      <c r="AX844" s="2"/>
      <c r="AY844" s="2"/>
    </row>
    <row r="845" ht="15.75" customHeight="1">
      <c r="AH845" s="2"/>
      <c r="AW845" s="2"/>
      <c r="AX845" s="2"/>
      <c r="AY845" s="2"/>
    </row>
    <row r="846" ht="15.75" customHeight="1">
      <c r="AH846" s="2"/>
      <c r="AW846" s="2"/>
      <c r="AX846" s="2"/>
      <c r="AY846" s="2"/>
    </row>
    <row r="847" ht="15.75" customHeight="1">
      <c r="AH847" s="2"/>
      <c r="AW847" s="2"/>
      <c r="AX847" s="2"/>
      <c r="AY847" s="2"/>
    </row>
    <row r="848" ht="15.75" customHeight="1">
      <c r="AH848" s="2"/>
      <c r="AW848" s="2"/>
      <c r="AX848" s="2"/>
      <c r="AY848" s="2"/>
    </row>
    <row r="849" ht="15.75" customHeight="1">
      <c r="AH849" s="2"/>
      <c r="AW849" s="2"/>
      <c r="AX849" s="2"/>
      <c r="AY849" s="2"/>
    </row>
    <row r="850" ht="15.75" customHeight="1">
      <c r="AH850" s="2"/>
      <c r="AW850" s="2"/>
      <c r="AX850" s="2"/>
      <c r="AY850" s="2"/>
    </row>
    <row r="851" ht="15.75" customHeight="1">
      <c r="AH851" s="2"/>
      <c r="AW851" s="2"/>
      <c r="AX851" s="2"/>
      <c r="AY851" s="2"/>
    </row>
    <row r="852" ht="15.75" customHeight="1">
      <c r="AH852" s="2"/>
      <c r="AW852" s="2"/>
      <c r="AX852" s="2"/>
      <c r="AY852" s="2"/>
    </row>
    <row r="853" ht="15.75" customHeight="1">
      <c r="AH853" s="2"/>
      <c r="AW853" s="2"/>
      <c r="AX853" s="2"/>
      <c r="AY853" s="2"/>
    </row>
    <row r="854" ht="15.75" customHeight="1">
      <c r="AH854" s="2"/>
      <c r="AW854" s="2"/>
      <c r="AX854" s="2"/>
      <c r="AY854" s="2"/>
    </row>
    <row r="855" ht="15.75" customHeight="1">
      <c r="AH855" s="2"/>
      <c r="AW855" s="2"/>
      <c r="AX855" s="2"/>
      <c r="AY855" s="2"/>
    </row>
    <row r="856" ht="15.75" customHeight="1">
      <c r="AH856" s="2"/>
      <c r="AW856" s="2"/>
      <c r="AX856" s="2"/>
      <c r="AY856" s="2"/>
    </row>
    <row r="857" ht="15.75" customHeight="1">
      <c r="AH857" s="2"/>
      <c r="AW857" s="2"/>
      <c r="AX857" s="2"/>
      <c r="AY857" s="2"/>
    </row>
    <row r="858" ht="15.75" customHeight="1">
      <c r="AH858" s="2"/>
      <c r="AW858" s="2"/>
      <c r="AX858" s="2"/>
      <c r="AY858" s="2"/>
    </row>
    <row r="859" ht="15.75" customHeight="1">
      <c r="AH859" s="2"/>
      <c r="AW859" s="2"/>
      <c r="AX859" s="2"/>
      <c r="AY859" s="2"/>
    </row>
    <row r="860" ht="15.75" customHeight="1">
      <c r="AH860" s="2"/>
      <c r="AW860" s="2"/>
      <c r="AX860" s="2"/>
      <c r="AY860" s="2"/>
    </row>
    <row r="861" ht="15.75" customHeight="1">
      <c r="AH861" s="2"/>
      <c r="AW861" s="2"/>
      <c r="AX861" s="2"/>
      <c r="AY861" s="2"/>
    </row>
    <row r="862" ht="15.75" customHeight="1">
      <c r="AH862" s="2"/>
      <c r="AW862" s="2"/>
      <c r="AX862" s="2"/>
      <c r="AY862" s="2"/>
    </row>
    <row r="863" ht="15.75" customHeight="1">
      <c r="AH863" s="2"/>
      <c r="AW863" s="2"/>
      <c r="AX863" s="2"/>
      <c r="AY863" s="2"/>
    </row>
    <row r="864" ht="15.75" customHeight="1">
      <c r="AH864" s="2"/>
      <c r="AW864" s="2"/>
      <c r="AX864" s="2"/>
      <c r="AY864" s="2"/>
    </row>
    <row r="865" ht="15.75" customHeight="1">
      <c r="AH865" s="2"/>
      <c r="AW865" s="2"/>
      <c r="AX865" s="2"/>
      <c r="AY865" s="2"/>
    </row>
    <row r="866" ht="15.75" customHeight="1">
      <c r="AH866" s="2"/>
      <c r="AW866" s="2"/>
      <c r="AX866" s="2"/>
      <c r="AY866" s="2"/>
    </row>
    <row r="867" ht="15.75" customHeight="1">
      <c r="AH867" s="2"/>
      <c r="AW867" s="2"/>
      <c r="AX867" s="2"/>
      <c r="AY867" s="2"/>
    </row>
    <row r="868" ht="15.75" customHeight="1">
      <c r="AH868" s="2"/>
      <c r="AW868" s="2"/>
      <c r="AX868" s="2"/>
      <c r="AY868" s="2"/>
    </row>
    <row r="869" ht="15.75" customHeight="1">
      <c r="AH869" s="2"/>
      <c r="AW869" s="2"/>
      <c r="AX869" s="2"/>
      <c r="AY869" s="2"/>
    </row>
    <row r="870" ht="15.75" customHeight="1">
      <c r="AH870" s="2"/>
      <c r="AW870" s="2"/>
      <c r="AX870" s="2"/>
      <c r="AY870" s="2"/>
    </row>
    <row r="871" ht="15.75" customHeight="1">
      <c r="AH871" s="2"/>
      <c r="AW871" s="2"/>
      <c r="AX871" s="2"/>
      <c r="AY871" s="2"/>
    </row>
    <row r="872" ht="15.75" customHeight="1">
      <c r="AH872" s="2"/>
      <c r="AW872" s="2"/>
      <c r="AX872" s="2"/>
      <c r="AY872" s="2"/>
    </row>
    <row r="873" ht="15.75" customHeight="1">
      <c r="AH873" s="2"/>
      <c r="AW873" s="2"/>
      <c r="AX873" s="2"/>
      <c r="AY873" s="2"/>
    </row>
    <row r="874" ht="15.75" customHeight="1">
      <c r="AH874" s="2"/>
      <c r="AW874" s="2"/>
      <c r="AX874" s="2"/>
      <c r="AY874" s="2"/>
    </row>
    <row r="875" ht="15.75" customHeight="1">
      <c r="AH875" s="2"/>
      <c r="AW875" s="2"/>
      <c r="AX875" s="2"/>
      <c r="AY875" s="2"/>
    </row>
    <row r="876" ht="15.75" customHeight="1">
      <c r="AH876" s="2"/>
      <c r="AW876" s="2"/>
      <c r="AX876" s="2"/>
      <c r="AY876" s="2"/>
    </row>
    <row r="877" ht="15.75" customHeight="1">
      <c r="AH877" s="2"/>
      <c r="AW877" s="2"/>
      <c r="AX877" s="2"/>
      <c r="AY877" s="2"/>
    </row>
    <row r="878" ht="15.75" customHeight="1">
      <c r="AH878" s="2"/>
      <c r="AW878" s="2"/>
      <c r="AX878" s="2"/>
      <c r="AY878" s="2"/>
    </row>
    <row r="879" ht="15.75" customHeight="1">
      <c r="AH879" s="2"/>
      <c r="AW879" s="2"/>
      <c r="AX879" s="2"/>
      <c r="AY879" s="2"/>
    </row>
    <row r="880" ht="15.75" customHeight="1">
      <c r="AH880" s="2"/>
      <c r="AW880" s="2"/>
      <c r="AX880" s="2"/>
      <c r="AY880" s="2"/>
    </row>
    <row r="881" ht="15.75" customHeight="1">
      <c r="AH881" s="2"/>
      <c r="AW881" s="2"/>
      <c r="AX881" s="2"/>
      <c r="AY881" s="2"/>
    </row>
    <row r="882" ht="15.75" customHeight="1">
      <c r="AH882" s="2"/>
      <c r="AW882" s="2"/>
      <c r="AX882" s="2"/>
      <c r="AY882" s="2"/>
    </row>
    <row r="883" ht="15.75" customHeight="1">
      <c r="AH883" s="2"/>
      <c r="AW883" s="2"/>
      <c r="AX883" s="2"/>
      <c r="AY883" s="2"/>
    </row>
    <row r="884" ht="15.75" customHeight="1">
      <c r="AH884" s="2"/>
      <c r="AW884" s="2"/>
      <c r="AX884" s="2"/>
      <c r="AY884" s="2"/>
    </row>
    <row r="885" ht="15.75" customHeight="1">
      <c r="AH885" s="2"/>
      <c r="AW885" s="2"/>
      <c r="AX885" s="2"/>
      <c r="AY885" s="2"/>
    </row>
    <row r="886" ht="15.75" customHeight="1">
      <c r="AH886" s="2"/>
      <c r="AW886" s="2"/>
      <c r="AX886" s="2"/>
      <c r="AY886" s="2"/>
    </row>
    <row r="887" ht="15.75" customHeight="1">
      <c r="AH887" s="2"/>
      <c r="AW887" s="2"/>
      <c r="AX887" s="2"/>
      <c r="AY887" s="2"/>
    </row>
    <row r="888" ht="15.75" customHeight="1">
      <c r="AH888" s="2"/>
      <c r="AW888" s="2"/>
      <c r="AX888" s="2"/>
      <c r="AY888" s="2"/>
    </row>
    <row r="889" ht="15.75" customHeight="1">
      <c r="AH889" s="2"/>
      <c r="AW889" s="2"/>
      <c r="AX889" s="2"/>
      <c r="AY889" s="2"/>
    </row>
    <row r="890" ht="15.75" customHeight="1">
      <c r="AH890" s="2"/>
      <c r="AW890" s="2"/>
      <c r="AX890" s="2"/>
      <c r="AY890" s="2"/>
    </row>
    <row r="891" ht="15.75" customHeight="1">
      <c r="AH891" s="2"/>
      <c r="AW891" s="2"/>
      <c r="AX891" s="2"/>
      <c r="AY891" s="2"/>
    </row>
    <row r="892" ht="15.75" customHeight="1">
      <c r="AH892" s="2"/>
      <c r="AW892" s="2"/>
      <c r="AX892" s="2"/>
      <c r="AY892" s="2"/>
    </row>
    <row r="893" ht="15.75" customHeight="1">
      <c r="AH893" s="2"/>
      <c r="AW893" s="2"/>
      <c r="AX893" s="2"/>
      <c r="AY893" s="2"/>
    </row>
    <row r="894" ht="15.75" customHeight="1">
      <c r="AH894" s="2"/>
      <c r="AW894" s="2"/>
      <c r="AX894" s="2"/>
      <c r="AY894" s="2"/>
    </row>
    <row r="895" ht="15.75" customHeight="1">
      <c r="AH895" s="2"/>
      <c r="AW895" s="2"/>
      <c r="AX895" s="2"/>
      <c r="AY895" s="2"/>
    </row>
    <row r="896" ht="15.75" customHeight="1">
      <c r="AH896" s="2"/>
      <c r="AW896" s="2"/>
      <c r="AX896" s="2"/>
      <c r="AY896" s="2"/>
    </row>
    <row r="897" ht="15.75" customHeight="1">
      <c r="AH897" s="2"/>
      <c r="AW897" s="2"/>
      <c r="AX897" s="2"/>
      <c r="AY897" s="2"/>
    </row>
    <row r="898" ht="15.75" customHeight="1">
      <c r="AH898" s="2"/>
      <c r="AW898" s="2"/>
      <c r="AX898" s="2"/>
      <c r="AY898" s="2"/>
    </row>
    <row r="899" ht="15.75" customHeight="1">
      <c r="AH899" s="2"/>
      <c r="AW899" s="2"/>
      <c r="AX899" s="2"/>
      <c r="AY899" s="2"/>
    </row>
    <row r="900" ht="15.75" customHeight="1">
      <c r="AH900" s="2"/>
      <c r="AW900" s="2"/>
      <c r="AX900" s="2"/>
      <c r="AY900" s="2"/>
    </row>
    <row r="901" ht="15.75" customHeight="1">
      <c r="AH901" s="2"/>
      <c r="AW901" s="2"/>
      <c r="AX901" s="2"/>
      <c r="AY901" s="2"/>
    </row>
    <row r="902" ht="15.75" customHeight="1">
      <c r="AH902" s="2"/>
      <c r="AW902" s="2"/>
      <c r="AX902" s="2"/>
      <c r="AY902" s="2"/>
    </row>
    <row r="903" ht="15.75" customHeight="1">
      <c r="AH903" s="2"/>
      <c r="AW903" s="2"/>
      <c r="AX903" s="2"/>
      <c r="AY903" s="2"/>
    </row>
    <row r="904" ht="15.75" customHeight="1">
      <c r="AH904" s="2"/>
      <c r="AW904" s="2"/>
      <c r="AX904" s="2"/>
      <c r="AY904" s="2"/>
    </row>
    <row r="905" ht="15.75" customHeight="1">
      <c r="AH905" s="2"/>
      <c r="AW905" s="2"/>
      <c r="AX905" s="2"/>
      <c r="AY905" s="2"/>
    </row>
    <row r="906" ht="15.75" customHeight="1">
      <c r="AH906" s="2"/>
      <c r="AW906" s="2"/>
      <c r="AX906" s="2"/>
      <c r="AY906" s="2"/>
    </row>
    <row r="907" ht="15.75" customHeight="1">
      <c r="AH907" s="2"/>
      <c r="AW907" s="2"/>
      <c r="AX907" s="2"/>
      <c r="AY907" s="2"/>
    </row>
    <row r="908" ht="15.75" customHeight="1">
      <c r="AH908" s="2"/>
      <c r="AW908" s="2"/>
      <c r="AX908" s="2"/>
      <c r="AY908" s="2"/>
    </row>
    <row r="909" ht="15.75" customHeight="1">
      <c r="AH909" s="2"/>
      <c r="AW909" s="2"/>
      <c r="AX909" s="2"/>
      <c r="AY909" s="2"/>
    </row>
    <row r="910" ht="15.75" customHeight="1">
      <c r="AH910" s="2"/>
      <c r="AW910" s="2"/>
      <c r="AX910" s="2"/>
      <c r="AY910" s="2"/>
    </row>
    <row r="911" ht="15.75" customHeight="1">
      <c r="AH911" s="2"/>
      <c r="AW911" s="2"/>
      <c r="AX911" s="2"/>
      <c r="AY911" s="2"/>
    </row>
    <row r="912" ht="15.75" customHeight="1">
      <c r="AH912" s="2"/>
      <c r="AW912" s="2"/>
      <c r="AX912" s="2"/>
      <c r="AY912" s="2"/>
    </row>
    <row r="913" ht="15.75" customHeight="1">
      <c r="AH913" s="2"/>
      <c r="AW913" s="2"/>
      <c r="AX913" s="2"/>
      <c r="AY913" s="2"/>
    </row>
    <row r="914" ht="15.75" customHeight="1">
      <c r="AH914" s="2"/>
      <c r="AW914" s="2"/>
      <c r="AX914" s="2"/>
      <c r="AY914" s="2"/>
    </row>
    <row r="915" ht="15.75" customHeight="1">
      <c r="AH915" s="2"/>
      <c r="AW915" s="2"/>
      <c r="AX915" s="2"/>
      <c r="AY915" s="2"/>
    </row>
    <row r="916" ht="15.75" customHeight="1">
      <c r="AH916" s="2"/>
      <c r="AW916" s="2"/>
      <c r="AX916" s="2"/>
      <c r="AY916" s="2"/>
    </row>
    <row r="917" ht="15.75" customHeight="1">
      <c r="AH917" s="2"/>
      <c r="AW917" s="2"/>
      <c r="AX917" s="2"/>
      <c r="AY917" s="2"/>
    </row>
    <row r="918" ht="15.75" customHeight="1">
      <c r="AH918" s="2"/>
      <c r="AW918" s="2"/>
      <c r="AX918" s="2"/>
      <c r="AY918" s="2"/>
    </row>
    <row r="919" ht="15.75" customHeight="1">
      <c r="AH919" s="2"/>
      <c r="AW919" s="2"/>
      <c r="AX919" s="2"/>
      <c r="AY919" s="2"/>
    </row>
    <row r="920" ht="15.75" customHeight="1">
      <c r="AH920" s="2"/>
      <c r="AW920" s="2"/>
      <c r="AX920" s="2"/>
      <c r="AY920" s="2"/>
    </row>
    <row r="921" ht="15.75" customHeight="1">
      <c r="AH921" s="2"/>
      <c r="AW921" s="2"/>
      <c r="AX921" s="2"/>
      <c r="AY921" s="2"/>
    </row>
    <row r="922" ht="15.75" customHeight="1">
      <c r="AH922" s="2"/>
      <c r="AW922" s="2"/>
      <c r="AX922" s="2"/>
      <c r="AY922" s="2"/>
    </row>
    <row r="923" ht="15.75" customHeight="1">
      <c r="AH923" s="2"/>
      <c r="AW923" s="2"/>
      <c r="AX923" s="2"/>
      <c r="AY923" s="2"/>
    </row>
    <row r="924" ht="15.75" customHeight="1">
      <c r="AH924" s="2"/>
      <c r="AW924" s="2"/>
      <c r="AX924" s="2"/>
      <c r="AY924" s="2"/>
    </row>
    <row r="925" ht="15.75" customHeight="1">
      <c r="AH925" s="2"/>
      <c r="AW925" s="2"/>
      <c r="AX925" s="2"/>
      <c r="AY925" s="2"/>
    </row>
    <row r="926" ht="15.75" customHeight="1">
      <c r="AH926" s="2"/>
      <c r="AW926" s="2"/>
      <c r="AX926" s="2"/>
      <c r="AY926" s="2"/>
    </row>
    <row r="927" ht="15.75" customHeight="1">
      <c r="AH927" s="2"/>
      <c r="AW927" s="2"/>
      <c r="AX927" s="2"/>
      <c r="AY927" s="2"/>
    </row>
    <row r="928" ht="15.75" customHeight="1">
      <c r="AH928" s="2"/>
      <c r="AW928" s="2"/>
      <c r="AX928" s="2"/>
      <c r="AY928" s="2"/>
    </row>
    <row r="929" ht="15.75" customHeight="1">
      <c r="AH929" s="2"/>
      <c r="AW929" s="2"/>
      <c r="AX929" s="2"/>
      <c r="AY929" s="2"/>
    </row>
    <row r="930" ht="15.75" customHeight="1">
      <c r="AH930" s="2"/>
      <c r="AW930" s="2"/>
      <c r="AX930" s="2"/>
      <c r="AY930" s="2"/>
    </row>
    <row r="931" ht="15.75" customHeight="1">
      <c r="AH931" s="2"/>
      <c r="AW931" s="2"/>
      <c r="AX931" s="2"/>
      <c r="AY931" s="2"/>
    </row>
    <row r="932" ht="15.75" customHeight="1">
      <c r="AH932" s="2"/>
      <c r="AW932" s="2"/>
      <c r="AX932" s="2"/>
      <c r="AY932" s="2"/>
    </row>
    <row r="933" ht="15.75" customHeight="1">
      <c r="AH933" s="2"/>
      <c r="AW933" s="2"/>
      <c r="AX933" s="2"/>
      <c r="AY933" s="2"/>
    </row>
    <row r="934" ht="15.75" customHeight="1">
      <c r="AH934" s="2"/>
      <c r="AW934" s="2"/>
      <c r="AX934" s="2"/>
      <c r="AY934" s="2"/>
    </row>
    <row r="935" ht="15.75" customHeight="1">
      <c r="AH935" s="2"/>
      <c r="AW935" s="2"/>
      <c r="AX935" s="2"/>
      <c r="AY935" s="2"/>
    </row>
    <row r="936" ht="15.75" customHeight="1">
      <c r="AH936" s="2"/>
      <c r="AW936" s="2"/>
      <c r="AX936" s="2"/>
      <c r="AY936" s="2"/>
    </row>
    <row r="937" ht="15.75" customHeight="1">
      <c r="AH937" s="2"/>
      <c r="AW937" s="2"/>
      <c r="AX937" s="2"/>
      <c r="AY937" s="2"/>
    </row>
    <row r="938" ht="15.75" customHeight="1">
      <c r="AH938" s="2"/>
      <c r="AW938" s="2"/>
      <c r="AX938" s="2"/>
      <c r="AY938" s="2"/>
    </row>
    <row r="939" ht="15.75" customHeight="1">
      <c r="AH939" s="2"/>
      <c r="AW939" s="2"/>
      <c r="AX939" s="2"/>
      <c r="AY939" s="2"/>
    </row>
    <row r="940" ht="15.75" customHeight="1">
      <c r="AH940" s="2"/>
      <c r="AW940" s="2"/>
      <c r="AX940" s="2"/>
      <c r="AY940" s="2"/>
    </row>
    <row r="941" ht="15.75" customHeight="1">
      <c r="AH941" s="2"/>
      <c r="AW941" s="2"/>
      <c r="AX941" s="2"/>
      <c r="AY941" s="2"/>
    </row>
    <row r="942" ht="15.75" customHeight="1">
      <c r="AH942" s="2"/>
      <c r="AW942" s="2"/>
      <c r="AX942" s="2"/>
      <c r="AY942" s="2"/>
    </row>
    <row r="943" ht="15.75" customHeight="1">
      <c r="AH943" s="2"/>
      <c r="AW943" s="2"/>
      <c r="AX943" s="2"/>
      <c r="AY943" s="2"/>
    </row>
    <row r="944" ht="15.75" customHeight="1">
      <c r="AH944" s="2"/>
      <c r="AW944" s="2"/>
      <c r="AX944" s="2"/>
      <c r="AY944" s="2"/>
    </row>
    <row r="945" ht="15.75" customHeight="1">
      <c r="AH945" s="2"/>
      <c r="AW945" s="2"/>
      <c r="AX945" s="2"/>
      <c r="AY945" s="2"/>
    </row>
    <row r="946" ht="15.75" customHeight="1">
      <c r="AH946" s="2"/>
      <c r="AW946" s="2"/>
      <c r="AX946" s="2"/>
      <c r="AY946" s="2"/>
    </row>
    <row r="947" ht="15.75" customHeight="1">
      <c r="AH947" s="2"/>
      <c r="AW947" s="2"/>
      <c r="AX947" s="2"/>
      <c r="AY947" s="2"/>
    </row>
    <row r="948" ht="15.75" customHeight="1">
      <c r="AH948" s="2"/>
      <c r="AW948" s="2"/>
      <c r="AX948" s="2"/>
      <c r="AY948" s="2"/>
    </row>
    <row r="949" ht="15.75" customHeight="1">
      <c r="AH949" s="2"/>
      <c r="AW949" s="2"/>
      <c r="AX949" s="2"/>
      <c r="AY949" s="2"/>
    </row>
    <row r="950" ht="15.75" customHeight="1">
      <c r="AH950" s="2"/>
      <c r="AW950" s="2"/>
      <c r="AX950" s="2"/>
      <c r="AY950" s="2"/>
    </row>
    <row r="951" ht="15.75" customHeight="1">
      <c r="AH951" s="2"/>
      <c r="AW951" s="2"/>
      <c r="AX951" s="2"/>
      <c r="AY951" s="2"/>
    </row>
    <row r="952" ht="15.75" customHeight="1">
      <c r="AH952" s="2"/>
      <c r="AW952" s="2"/>
      <c r="AX952" s="2"/>
      <c r="AY952" s="2"/>
    </row>
    <row r="953" ht="15.75" customHeight="1">
      <c r="AH953" s="2"/>
      <c r="AW953" s="2"/>
      <c r="AX953" s="2"/>
      <c r="AY953" s="2"/>
    </row>
    <row r="954" ht="15.75" customHeight="1">
      <c r="AH954" s="2"/>
      <c r="AW954" s="2"/>
      <c r="AX954" s="2"/>
      <c r="AY954" s="2"/>
    </row>
    <row r="955" ht="15.75" customHeight="1">
      <c r="AH955" s="2"/>
      <c r="AW955" s="2"/>
      <c r="AX955" s="2"/>
      <c r="AY955" s="2"/>
    </row>
    <row r="956" ht="15.75" customHeight="1">
      <c r="AH956" s="2"/>
      <c r="AW956" s="2"/>
      <c r="AX956" s="2"/>
      <c r="AY956" s="2"/>
    </row>
    <row r="957" ht="15.75" customHeight="1">
      <c r="AH957" s="2"/>
      <c r="AW957" s="2"/>
      <c r="AX957" s="2"/>
      <c r="AY957" s="2"/>
    </row>
    <row r="958" ht="15.75" customHeight="1">
      <c r="AH958" s="2"/>
      <c r="AW958" s="2"/>
      <c r="AX958" s="2"/>
      <c r="AY958" s="2"/>
    </row>
    <row r="959" ht="15.75" customHeight="1">
      <c r="AH959" s="2"/>
      <c r="AW959" s="2"/>
      <c r="AX959" s="2"/>
      <c r="AY959" s="2"/>
    </row>
    <row r="960" ht="15.75" customHeight="1">
      <c r="AH960" s="2"/>
      <c r="AW960" s="2"/>
      <c r="AX960" s="2"/>
      <c r="AY960" s="2"/>
    </row>
    <row r="961" ht="15.75" customHeight="1">
      <c r="AH961" s="2"/>
      <c r="AW961" s="2"/>
      <c r="AX961" s="2"/>
      <c r="AY961" s="2"/>
    </row>
    <row r="962" ht="15.75" customHeight="1">
      <c r="AH962" s="2"/>
      <c r="AW962" s="2"/>
      <c r="AX962" s="2"/>
      <c r="AY962" s="2"/>
    </row>
    <row r="963" ht="15.75" customHeight="1">
      <c r="AH963" s="2"/>
      <c r="AW963" s="2"/>
      <c r="AX963" s="2"/>
      <c r="AY963" s="2"/>
    </row>
    <row r="964" ht="15.75" customHeight="1">
      <c r="AH964" s="2"/>
      <c r="AW964" s="2"/>
      <c r="AX964" s="2"/>
      <c r="AY964" s="2"/>
    </row>
    <row r="965" ht="15.75" customHeight="1">
      <c r="AH965" s="2"/>
      <c r="AW965" s="2"/>
      <c r="AX965" s="2"/>
      <c r="AY965" s="2"/>
    </row>
    <row r="966" ht="15.75" customHeight="1">
      <c r="AH966" s="2"/>
      <c r="AW966" s="2"/>
      <c r="AX966" s="2"/>
      <c r="AY966" s="2"/>
    </row>
    <row r="967" ht="15.75" customHeight="1">
      <c r="AH967" s="2"/>
      <c r="AW967" s="2"/>
      <c r="AX967" s="2"/>
      <c r="AY967" s="2"/>
    </row>
    <row r="968" ht="15.75" customHeight="1">
      <c r="AH968" s="2"/>
      <c r="AW968" s="2"/>
      <c r="AX968" s="2"/>
      <c r="AY968" s="2"/>
    </row>
    <row r="969" ht="15.75" customHeight="1">
      <c r="AH969" s="2"/>
      <c r="AW969" s="2"/>
      <c r="AX969" s="2"/>
      <c r="AY969" s="2"/>
    </row>
    <row r="970" ht="15.75" customHeight="1">
      <c r="AH970" s="2"/>
      <c r="AW970" s="2"/>
      <c r="AX970" s="2"/>
      <c r="AY970" s="2"/>
    </row>
    <row r="971" ht="15.75" customHeight="1">
      <c r="AH971" s="2"/>
      <c r="AW971" s="2"/>
      <c r="AX971" s="2"/>
      <c r="AY971" s="2"/>
    </row>
    <row r="972" ht="15.75" customHeight="1">
      <c r="AH972" s="2"/>
      <c r="AW972" s="2"/>
      <c r="AX972" s="2"/>
      <c r="AY972" s="2"/>
    </row>
    <row r="973" ht="15.75" customHeight="1">
      <c r="AH973" s="2"/>
      <c r="AW973" s="2"/>
      <c r="AX973" s="2"/>
      <c r="AY973" s="2"/>
    </row>
    <row r="974" ht="15.75" customHeight="1">
      <c r="AH974" s="2"/>
      <c r="AW974" s="2"/>
      <c r="AX974" s="2"/>
      <c r="AY974" s="2"/>
    </row>
    <row r="975" ht="15.75" customHeight="1">
      <c r="AH975" s="2"/>
      <c r="AW975" s="2"/>
      <c r="AX975" s="2"/>
      <c r="AY975" s="2"/>
    </row>
    <row r="976" ht="15.75" customHeight="1">
      <c r="AH976" s="2"/>
      <c r="AW976" s="2"/>
      <c r="AX976" s="2"/>
      <c r="AY976" s="2"/>
    </row>
    <row r="977" ht="15.75" customHeight="1">
      <c r="AH977" s="2"/>
      <c r="AW977" s="2"/>
      <c r="AX977" s="2"/>
      <c r="AY977" s="2"/>
    </row>
    <row r="978" ht="15.75" customHeight="1">
      <c r="AH978" s="2"/>
      <c r="AW978" s="2"/>
      <c r="AX978" s="2"/>
      <c r="AY978" s="2"/>
    </row>
    <row r="979" ht="15.75" customHeight="1">
      <c r="AH979" s="2"/>
      <c r="AW979" s="2"/>
      <c r="AX979" s="2"/>
      <c r="AY979" s="2"/>
    </row>
    <row r="980" ht="15.75" customHeight="1">
      <c r="AH980" s="2"/>
      <c r="AW980" s="2"/>
      <c r="AX980" s="2"/>
      <c r="AY980" s="2"/>
    </row>
    <row r="981" ht="15.75" customHeight="1">
      <c r="AH981" s="2"/>
      <c r="AW981" s="2"/>
      <c r="AX981" s="2"/>
      <c r="AY981" s="2"/>
    </row>
    <row r="982" ht="15.75" customHeight="1">
      <c r="AH982" s="2"/>
      <c r="AW982" s="2"/>
      <c r="AX982" s="2"/>
      <c r="AY982" s="2"/>
    </row>
    <row r="983" ht="15.75" customHeight="1">
      <c r="AH983" s="2"/>
      <c r="AW983" s="2"/>
      <c r="AX983" s="2"/>
      <c r="AY983" s="2"/>
    </row>
    <row r="984" ht="15.75" customHeight="1">
      <c r="AH984" s="2"/>
      <c r="AW984" s="2"/>
      <c r="AX984" s="2"/>
      <c r="AY984" s="2"/>
    </row>
    <row r="985" ht="15.75" customHeight="1">
      <c r="AH985" s="2"/>
      <c r="AW985" s="2"/>
      <c r="AX985" s="2"/>
      <c r="AY985" s="2"/>
    </row>
    <row r="986" ht="15.75" customHeight="1">
      <c r="AH986" s="2"/>
      <c r="AW986" s="2"/>
      <c r="AX986" s="2"/>
      <c r="AY986" s="2"/>
    </row>
    <row r="987" ht="15.75" customHeight="1">
      <c r="AH987" s="2"/>
      <c r="AW987" s="2"/>
      <c r="AX987" s="2"/>
      <c r="AY987" s="2"/>
    </row>
    <row r="988" ht="15.75" customHeight="1">
      <c r="AH988" s="2"/>
      <c r="AW988" s="2"/>
      <c r="AX988" s="2"/>
      <c r="AY988" s="2"/>
    </row>
    <row r="989" ht="15.75" customHeight="1">
      <c r="AH989" s="2"/>
      <c r="AW989" s="2"/>
      <c r="AX989" s="2"/>
      <c r="AY989" s="2"/>
    </row>
    <row r="990" ht="15.75" customHeight="1">
      <c r="AH990" s="2"/>
      <c r="AW990" s="2"/>
      <c r="AX990" s="2"/>
      <c r="AY990" s="2"/>
    </row>
    <row r="991" ht="15.75" customHeight="1">
      <c r="AH991" s="2"/>
      <c r="AW991" s="2"/>
      <c r="AX991" s="2"/>
      <c r="AY991" s="2"/>
    </row>
    <row r="992" ht="15.75" customHeight="1">
      <c r="AH992" s="2"/>
      <c r="AW992" s="2"/>
      <c r="AX992" s="2"/>
      <c r="AY992" s="2"/>
    </row>
    <row r="993" ht="15.75" customHeight="1">
      <c r="AH993" s="2"/>
      <c r="AW993" s="2"/>
      <c r="AX993" s="2"/>
      <c r="AY993" s="2"/>
    </row>
    <row r="994" ht="15.75" customHeight="1">
      <c r="AH994" s="2"/>
      <c r="AW994" s="2"/>
      <c r="AX994" s="2"/>
      <c r="AY994" s="2"/>
    </row>
    <row r="995" ht="15.75" customHeight="1">
      <c r="AH995" s="2"/>
      <c r="AW995" s="2"/>
      <c r="AX995" s="2"/>
      <c r="AY995" s="2"/>
    </row>
    <row r="996" ht="15.75" customHeight="1">
      <c r="AH996" s="2"/>
      <c r="AW996" s="2"/>
      <c r="AX996" s="2"/>
      <c r="AY996" s="2"/>
    </row>
    <row r="997" ht="15.75" customHeight="1">
      <c r="AH997" s="2"/>
      <c r="AW997" s="2"/>
      <c r="AX997" s="2"/>
      <c r="AY997" s="2"/>
    </row>
    <row r="998" ht="15.75" customHeight="1">
      <c r="AH998" s="2"/>
      <c r="AW998" s="2"/>
      <c r="AX998" s="2"/>
      <c r="AY998" s="2"/>
    </row>
    <row r="999" ht="15.75" customHeight="1">
      <c r="AH999" s="2"/>
      <c r="AW999" s="2"/>
      <c r="AX999" s="2"/>
      <c r="AY999" s="2"/>
    </row>
    <row r="1000" ht="15.75" customHeight="1">
      <c r="AH1000" s="2"/>
      <c r="AW1000" s="2"/>
      <c r="AX1000" s="2"/>
      <c r="AY1000" s="2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2026-08-28T18:47:15+00:00</dcterms:created>
</cp:coreProperties>
</file>